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5125" windowHeight="13425"/>
  </bookViews>
  <sheets>
    <sheet name="NOV" sheetId="48" r:id="rId1"/>
  </sheets>
  <calcPr calcId="152511"/>
</workbook>
</file>

<file path=xl/calcChain.xml><?xml version="1.0" encoding="utf-8"?>
<calcChain xmlns="http://schemas.openxmlformats.org/spreadsheetml/2006/main">
  <c r="J98" i="48" l="1"/>
  <c r="J97" i="48"/>
  <c r="J96" i="48"/>
  <c r="J95" i="48"/>
  <c r="J94" i="48"/>
  <c r="J93" i="48"/>
  <c r="J92" i="48"/>
  <c r="M88" i="48"/>
  <c r="N88" i="48"/>
  <c r="O88" i="48"/>
  <c r="P88" i="48"/>
  <c r="Q88" i="48"/>
  <c r="R88" i="48"/>
  <c r="S88" i="48"/>
  <c r="L88" i="48"/>
  <c r="J99" i="48" l="1"/>
</calcChain>
</file>

<file path=xl/sharedStrings.xml><?xml version="1.0" encoding="utf-8"?>
<sst xmlns="http://schemas.openxmlformats.org/spreadsheetml/2006/main" count="190" uniqueCount="79">
  <si>
    <t>K</t>
  </si>
  <si>
    <t xml:space="preserve">Universidad  de  Santiago  de  Chile                                                                </t>
  </si>
  <si>
    <t>MORA L.19287</t>
  </si>
  <si>
    <t>CARLOS ENRIQUE  MAUREIRA  VARGAS</t>
  </si>
  <si>
    <t>PAULINA ANDREA  PEDREROS  CESPEDES</t>
  </si>
  <si>
    <t>OSCAR ALEJANDRO  GUTIERREZ  TORO</t>
  </si>
  <si>
    <t>GISELLE NICOL  LABRA  ALARCON</t>
  </si>
  <si>
    <t>L.19848</t>
  </si>
  <si>
    <t>FRANCO FELIPE RODRIGUEZ OSORIO</t>
  </si>
  <si>
    <t>YENNIFER MARLENE  NAVARRO  TRINCADO</t>
  </si>
  <si>
    <t>JAVIER IGNACIO  BRAVO  LEE</t>
  </si>
  <si>
    <t>DP</t>
  </si>
  <si>
    <t>JORGE MANUEL  BLAMEY  ROSEL</t>
  </si>
  <si>
    <t>JAVIER ALEJANDRO  CARRASCO  MARGANO</t>
  </si>
  <si>
    <t>PAULINA ALEJANDR  VERA  DIAZ</t>
  </si>
  <si>
    <t>ANDRES ALEJA  ENCINA  MEJIAS</t>
  </si>
  <si>
    <t>JOSE DAVID  MARROQUIN  TOLEDO</t>
  </si>
  <si>
    <t>SEBASTIAN ANDRES  MEDEL  FIGUEROA</t>
  </si>
  <si>
    <t>FRANCISCO ARTURO  DUARTE  OLAVE</t>
  </si>
  <si>
    <t>CAMILA VERONICA  GALINDO  TRUJILLO</t>
  </si>
  <si>
    <t>LUIS ALONSO  GUTIERREZ  ARAYA</t>
  </si>
  <si>
    <t>L.19287</t>
  </si>
  <si>
    <t>REZ</t>
  </si>
  <si>
    <t>JAIME ANDRES  LETELIER  PINO</t>
  </si>
  <si>
    <t>CRISTIAN IGNACIO  NEUMANN  DIAZ</t>
  </si>
  <si>
    <t>VERONICA DEL CAR  VERGARA  CUADRA</t>
  </si>
  <si>
    <t>PALOMA ESTER  MORENO  CONTRERAS</t>
  </si>
  <si>
    <t>MARCO ANTONIO  BUSTAMANTE  BELTRAN</t>
  </si>
  <si>
    <t>JUAN PATRICIO  URREA  CHAVEZ</t>
  </si>
  <si>
    <t>DANIELA ANDREA  TRONCOSO  MEZA</t>
  </si>
  <si>
    <t>JONATHAN ALBERTO  BENAVIDES  TORRES</t>
  </si>
  <si>
    <t>GUSTAVO ALONSO  MONTAÐO  ESPEJO</t>
  </si>
  <si>
    <t>MONICA CONSTANZA  HERNANDEZ  VALENZUELA</t>
  </si>
  <si>
    <t>FABIOLA VICTORINA  FERNANDEZ  MARQUEZ</t>
  </si>
  <si>
    <t>MARCELA STEPHANIE  MENA  GALAZ</t>
  </si>
  <si>
    <t>MARIANNE DEL CARMEN  BUSTAMANTE  PIZARRO</t>
  </si>
  <si>
    <t>CARLOS ANTONIO  OLIVERA  VELASQUEZ</t>
  </si>
  <si>
    <t>HERNAN  TAPIA  RIQUELME</t>
  </si>
  <si>
    <t>MAURICIO ALFR  JARAQUEMADA  GARIN</t>
  </si>
  <si>
    <t>MORA L.19848</t>
  </si>
  <si>
    <t xml:space="preserve">      GARRIDO        MAURICIO A  GAJARDO  </t>
  </si>
  <si>
    <t>ROMINA ANDREA  MARTINEZ  CORVALAN</t>
  </si>
  <si>
    <t>DAVID ANTONI  GONZALEZ  NAVARRO</t>
  </si>
  <si>
    <t>MARICEL ALEJANDR  MARTINEZ  LUNA</t>
  </si>
  <si>
    <t>NATALIA ANDREA  LOYOLA  CARPENTER</t>
  </si>
  <si>
    <t>CARLOS ALBERTO  MATAMORO  BURGOS</t>
  </si>
  <si>
    <t>CHRISTIAN EDWARD  STEVENSON  PARRA</t>
  </si>
  <si>
    <t>ALEJANDRA AND  GODOY  ARAYA</t>
  </si>
  <si>
    <t>WILHELM PABLO OTFRIE  SCHWEMBER  HINOJOSA</t>
  </si>
  <si>
    <t>VENICIA STPHANY  MARTINEZ  HERNANDEZ</t>
  </si>
  <si>
    <t>JONATHAN HENEMIAS  DURAN  FERNANDEZ</t>
  </si>
  <si>
    <t>PAOLA ELIZABETH  RIVERA  BASSO</t>
  </si>
  <si>
    <t>PEDRO EMILIO  VEAS  BASSO</t>
  </si>
  <si>
    <t>CAROLINA ANDREA  FARIAS  PEREIRA</t>
  </si>
  <si>
    <t>SEBASTIAN  CATRICURA  RODRIGUEZ</t>
  </si>
  <si>
    <t>CAROLINA ANDREA  TOLEDO  IBARRA</t>
  </si>
  <si>
    <t>ANDRES VASQUEZ  AHUMADA  MANUEL</t>
  </si>
  <si>
    <t>DIEGO IGNACIO  GONZALEZ  ARCE</t>
  </si>
  <si>
    <t>CARLOS HUMBERTO  BAÑARES  PILQUIANTI</t>
  </si>
  <si>
    <t>EDUARDO ANDRES  BOLBARAN  VASQUEZ</t>
  </si>
  <si>
    <t>JOAQUIN IGNACIO  OLIVARES  DONOSO</t>
  </si>
  <si>
    <t>JULIO ANDRES  PIZARRO  ARMIJO</t>
  </si>
  <si>
    <t>JULIO ANDRES  ORTIZ  SARAVIA</t>
  </si>
  <si>
    <t>CAROLINA PATR  EJSMENTEWICZ  BAEZA</t>
  </si>
  <si>
    <t>ROBERTO ANDRES  VERDUGO  FIGUEROA</t>
  </si>
  <si>
    <t>JOSE ANTONIO  HODAR  QUIROGA</t>
  </si>
  <si>
    <t>SANDRA HANNOV  QUINTANA  PEREZ</t>
  </si>
  <si>
    <t>CRISTIAN  TORRES  ULLOA</t>
  </si>
  <si>
    <t>ORIANA ELIZABETH  CERDA  GUTIERREZ</t>
  </si>
  <si>
    <t>CRISTHIAN ALEXIS  DIAZ  SEPULVEDA</t>
  </si>
  <si>
    <t>MARIA JOSE CAROLINA  CAMUS  LEIVA</t>
  </si>
  <si>
    <t>NICOLAS MIGUE  GROTH  GONZALEZ</t>
  </si>
  <si>
    <t>ELIZABETH BEATRI  FERREIRA  LLANQUIMAN</t>
  </si>
  <si>
    <t>RODRIGO FERNANDO  ANDRADE  SCHNETTLER</t>
  </si>
  <si>
    <t>KARINNA ANDREA  OROZCO  BERNAL</t>
  </si>
  <si>
    <t>CHRISTOPHER FERNANDO  ARAVENA  SEPULVEDA</t>
  </si>
  <si>
    <t>JOSE FRANCISC  MAICHIL  DURAN</t>
  </si>
  <si>
    <t>17 BIS</t>
  </si>
  <si>
    <t>GALLARDO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</si>
</sst>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\-yyyy;@"/>
    <numFmt numFmtId="166" formatCode="#,##0.0000"/>
    <numFmt numFmtId="167" formatCode="0;[Red]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/>
    <xf numFmtId="0" fontId="1" fillId="0" borderId="0" xfId="0" applyFont="1" applyFill="1"/>
    <xf numFmtId="0" fontId="1" fillId="2" borderId="1" xfId="0" applyFont="1" applyFill="1" applyBorder="1"/>
    <xf numFmtId="166" fontId="1" fillId="0" borderId="0" xfId="0" applyNumberFormat="1" applyFont="1"/>
    <xf numFmtId="166" fontId="0" fillId="0" borderId="0" xfId="0" applyNumberFormat="1" applyFont="1"/>
    <xf numFmtId="166" fontId="0" fillId="0" borderId="0" xfId="0" applyNumberFormat="1"/>
    <xf numFmtId="1" fontId="0" fillId="0" borderId="0" xfId="0" applyNumberFormat="1" applyFont="1"/>
    <xf numFmtId="1" fontId="0" fillId="0" borderId="0" xfId="0" applyNumberFormat="1"/>
    <xf numFmtId="164" fontId="1" fillId="0" borderId="0" xfId="0" applyNumberFormat="1" applyFont="1"/>
    <xf numFmtId="164" fontId="1" fillId="0" borderId="0" xfId="0" applyNumberFormat="1" applyFont="1" applyFill="1"/>
    <xf numFmtId="164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64" fontId="2" fillId="2" borderId="1" xfId="0" applyNumberFormat="1" applyFont="1" applyFill="1" applyBorder="1" applyAlignment="1" applyProtection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"/>
  <sheetViews>
    <sheetView tabSelected="1" workbookViewId="0">
      <selection activeCell="F12" sqref="F12"/>
    </sheetView>
  </sheetViews>
  <sheetFormatPr baseColWidth="10" defaultRowHeight="15" x14ac:dyDescent="0.25"/>
  <cols>
    <col min="1" max="1" width="9" bestFit="1" customWidth="1"/>
    <col min="2" max="2" width="3.5703125" style="17" bestFit="1" customWidth="1"/>
    <col min="3" max="3" width="38.42578125" bestFit="1" customWidth="1"/>
    <col min="5" max="5" width="28.7109375" customWidth="1"/>
    <col min="6" max="6" width="6.42578125" customWidth="1"/>
    <col min="7" max="7" width="7.42578125" customWidth="1"/>
    <col min="8" max="8" width="8" customWidth="1"/>
    <col min="9" max="9" width="5.42578125" customWidth="1"/>
    <col min="10" max="10" width="11.140625" style="13" customWidth="1"/>
    <col min="11" max="11" width="6.42578125" customWidth="1"/>
    <col min="12" max="12" width="12.7109375" style="8" customWidth="1"/>
    <col min="13" max="13" width="11.42578125" style="10"/>
    <col min="14" max="14" width="11.42578125" style="8"/>
    <col min="15" max="15" width="11.42578125" style="10"/>
    <col min="16" max="16" width="7.85546875" style="8" bestFit="1" customWidth="1"/>
    <col min="17" max="17" width="9" style="10" bestFit="1" customWidth="1"/>
    <col min="18" max="18" width="11.42578125" style="10"/>
    <col min="19" max="19" width="13.5703125" style="8" customWidth="1"/>
    <col min="20" max="20" width="11.42578125" style="15"/>
    <col min="21" max="21" width="5.28515625" customWidth="1"/>
    <col min="22" max="22" width="11.42578125" style="13"/>
    <col min="23" max="23" width="11.85546875" bestFit="1" customWidth="1"/>
    <col min="24" max="24" width="13.5703125" bestFit="1" customWidth="1"/>
    <col min="25" max="25" width="9" style="13" bestFit="1" customWidth="1"/>
  </cols>
  <sheetData>
    <row r="1" spans="1:25" s="1" customFormat="1" ht="12" x14ac:dyDescent="0.2">
      <c r="A1" s="1">
        <v>16554334</v>
      </c>
      <c r="B1" s="2">
        <v>3</v>
      </c>
      <c r="C1" s="1" t="s">
        <v>8</v>
      </c>
      <c r="D1" s="1">
        <v>609110007</v>
      </c>
      <c r="E1" s="1" t="s">
        <v>1</v>
      </c>
      <c r="F1" s="1">
        <v>53476</v>
      </c>
      <c r="G1" s="1">
        <v>2021</v>
      </c>
      <c r="H1" s="1">
        <v>127534</v>
      </c>
      <c r="I1" s="1">
        <v>4</v>
      </c>
      <c r="J1" s="11">
        <v>44522</v>
      </c>
      <c r="K1" s="1">
        <v>26.91</v>
      </c>
      <c r="L1" s="6">
        <v>4.5275999999999996</v>
      </c>
      <c r="M1" s="3">
        <v>242118</v>
      </c>
      <c r="N1" s="6">
        <v>0</v>
      </c>
      <c r="O1" s="3">
        <v>0</v>
      </c>
      <c r="P1" s="6">
        <v>0</v>
      </c>
      <c r="Q1" s="3">
        <v>0</v>
      </c>
      <c r="R1" s="3">
        <v>242118</v>
      </c>
      <c r="S1" s="6">
        <v>4.5275999999999996</v>
      </c>
      <c r="T1" s="14">
        <v>21027455</v>
      </c>
      <c r="U1" s="4">
        <v>8</v>
      </c>
      <c r="V1" s="12">
        <v>44196</v>
      </c>
      <c r="W1" s="4">
        <v>1</v>
      </c>
      <c r="X1" s="5">
        <v>12</v>
      </c>
      <c r="Y1" s="16">
        <v>44548</v>
      </c>
    </row>
    <row r="2" spans="1:25" s="1" customFormat="1" ht="12" x14ac:dyDescent="0.2">
      <c r="A2" s="1">
        <v>16554334</v>
      </c>
      <c r="B2" s="2">
        <v>3</v>
      </c>
      <c r="C2" s="1" t="s">
        <v>8</v>
      </c>
      <c r="D2" s="1">
        <v>609110007</v>
      </c>
      <c r="E2" s="1" t="s">
        <v>1</v>
      </c>
      <c r="F2" s="1">
        <v>53476</v>
      </c>
      <c r="G2" s="1">
        <v>2022</v>
      </c>
      <c r="H2" s="1">
        <v>127535</v>
      </c>
      <c r="I2" s="1">
        <v>5</v>
      </c>
      <c r="J2" s="11">
        <v>44522</v>
      </c>
      <c r="K2" s="1">
        <v>26.91</v>
      </c>
      <c r="L2" s="6">
        <v>6.4999999999999997E-3</v>
      </c>
      <c r="M2" s="3">
        <v>348</v>
      </c>
      <c r="N2" s="6">
        <v>0</v>
      </c>
      <c r="O2" s="3">
        <v>0</v>
      </c>
      <c r="P2" s="6">
        <v>0</v>
      </c>
      <c r="Q2" s="3">
        <v>0</v>
      </c>
      <c r="R2" s="3">
        <v>348</v>
      </c>
      <c r="S2" s="6">
        <v>6.4999999999999997E-3</v>
      </c>
      <c r="T2" s="14">
        <v>21027455</v>
      </c>
      <c r="U2" s="4">
        <v>8</v>
      </c>
      <c r="V2" s="12">
        <v>44196</v>
      </c>
      <c r="W2" s="4">
        <v>1</v>
      </c>
      <c r="X2" s="5">
        <v>12</v>
      </c>
      <c r="Y2" s="16">
        <v>44548</v>
      </c>
    </row>
    <row r="3" spans="1:25" s="1" customFormat="1" ht="12" x14ac:dyDescent="0.2">
      <c r="A3" s="1">
        <v>13261412</v>
      </c>
      <c r="B3" s="2">
        <v>1</v>
      </c>
      <c r="C3" s="1" t="s">
        <v>78</v>
      </c>
      <c r="D3" s="1">
        <v>609110007</v>
      </c>
      <c r="E3" s="1" t="s">
        <v>1</v>
      </c>
      <c r="F3" s="1">
        <v>50978</v>
      </c>
      <c r="G3" s="1">
        <v>2019</v>
      </c>
      <c r="H3" s="1">
        <v>999999</v>
      </c>
      <c r="I3" s="1">
        <v>13</v>
      </c>
      <c r="J3" s="11">
        <v>44210</v>
      </c>
      <c r="K3" s="1">
        <v>3.71</v>
      </c>
      <c r="L3" s="6">
        <v>0.42182699999999995</v>
      </c>
      <c r="M3" s="3">
        <v>21503.896805999997</v>
      </c>
      <c r="N3" s="6">
        <v>3.3760999999999999E-2</v>
      </c>
      <c r="O3" s="3">
        <v>1721.068258</v>
      </c>
      <c r="P3" s="6">
        <v>0</v>
      </c>
      <c r="Q3" s="3">
        <v>0</v>
      </c>
      <c r="R3" s="3">
        <v>23224.965063999996</v>
      </c>
      <c r="S3" s="6">
        <v>0.45558799999999994</v>
      </c>
      <c r="T3" s="14">
        <v>10050293</v>
      </c>
      <c r="U3" s="4">
        <v>4</v>
      </c>
      <c r="V3" s="12">
        <v>43465</v>
      </c>
      <c r="W3" s="4">
        <v>1</v>
      </c>
      <c r="X3" s="5">
        <v>12</v>
      </c>
      <c r="Y3" s="16">
        <v>44536</v>
      </c>
    </row>
    <row r="4" spans="1:25" s="1" customFormat="1" ht="12" x14ac:dyDescent="0.2">
      <c r="A4" s="1">
        <v>13261412</v>
      </c>
      <c r="B4" s="2">
        <v>1</v>
      </c>
      <c r="C4" s="1" t="s">
        <v>78</v>
      </c>
      <c r="D4" s="1">
        <v>609110007</v>
      </c>
      <c r="E4" s="1" t="s">
        <v>1</v>
      </c>
      <c r="F4" s="1">
        <v>50978</v>
      </c>
      <c r="G4" s="1">
        <v>2020</v>
      </c>
      <c r="H4" s="1">
        <v>999999</v>
      </c>
      <c r="I4" s="1">
        <v>14</v>
      </c>
      <c r="J4" s="11">
        <v>44210</v>
      </c>
      <c r="K4" s="1">
        <v>3.71</v>
      </c>
      <c r="L4" s="6">
        <v>7.4200000000000002E-2</v>
      </c>
      <c r="M4" s="3">
        <v>3782.5676000000003</v>
      </c>
      <c r="N4" s="6">
        <v>0</v>
      </c>
      <c r="O4" s="3">
        <v>0</v>
      </c>
      <c r="P4" s="6">
        <v>0</v>
      </c>
      <c r="Q4" s="3">
        <v>0</v>
      </c>
      <c r="R4" s="3">
        <v>3782.5676000000003</v>
      </c>
      <c r="S4" s="6">
        <v>7.4200000000000002E-2</v>
      </c>
      <c r="T4" s="14">
        <v>10050293</v>
      </c>
      <c r="U4" s="4">
        <v>4</v>
      </c>
      <c r="V4" s="12">
        <v>43830</v>
      </c>
      <c r="W4" s="4">
        <v>1</v>
      </c>
      <c r="X4" s="5">
        <v>12</v>
      </c>
      <c r="Y4" s="16">
        <v>44536</v>
      </c>
    </row>
    <row r="5" spans="1:25" s="1" customFormat="1" ht="12" x14ac:dyDescent="0.2">
      <c r="A5" s="1">
        <v>13261412</v>
      </c>
      <c r="B5" s="2">
        <v>1</v>
      </c>
      <c r="C5" s="1" t="s">
        <v>78</v>
      </c>
      <c r="D5" s="1">
        <v>609110007</v>
      </c>
      <c r="E5" s="1" t="s">
        <v>1</v>
      </c>
      <c r="F5" s="1">
        <v>49229</v>
      </c>
      <c r="G5" s="1">
        <v>2019</v>
      </c>
      <c r="H5" s="1">
        <v>999999</v>
      </c>
      <c r="I5" s="1">
        <v>13</v>
      </c>
      <c r="J5" s="11">
        <v>43798</v>
      </c>
      <c r="K5" s="1">
        <v>3.71</v>
      </c>
      <c r="L5" s="6">
        <v>0.42182699999999995</v>
      </c>
      <c r="M5" s="3">
        <v>20766.121382999998</v>
      </c>
      <c r="N5" s="6">
        <v>0</v>
      </c>
      <c r="O5" s="3">
        <v>0</v>
      </c>
      <c r="P5" s="6">
        <v>0</v>
      </c>
      <c r="Q5" s="3">
        <v>0</v>
      </c>
      <c r="R5" s="3">
        <v>20766.121382999998</v>
      </c>
      <c r="S5" s="6">
        <v>0.42182699999999995</v>
      </c>
      <c r="T5" s="14">
        <v>10050293</v>
      </c>
      <c r="U5" s="4">
        <v>4</v>
      </c>
      <c r="V5" s="12">
        <v>43830</v>
      </c>
      <c r="W5" s="4">
        <v>1</v>
      </c>
      <c r="X5" s="5">
        <v>12</v>
      </c>
      <c r="Y5" s="16">
        <v>44536</v>
      </c>
    </row>
    <row r="6" spans="1:25" s="1" customFormat="1" ht="12" x14ac:dyDescent="0.2">
      <c r="A6" s="1">
        <v>14050528</v>
      </c>
      <c r="B6" s="2">
        <v>5</v>
      </c>
      <c r="C6" s="1" t="s">
        <v>14</v>
      </c>
      <c r="D6" s="1">
        <v>609110007</v>
      </c>
      <c r="E6" s="1" t="s">
        <v>1</v>
      </c>
      <c r="F6" s="1">
        <v>53476</v>
      </c>
      <c r="G6" s="1">
        <v>2006</v>
      </c>
      <c r="H6" s="1">
        <v>127374</v>
      </c>
      <c r="I6" s="1">
        <v>1</v>
      </c>
      <c r="J6" s="11">
        <v>44502</v>
      </c>
      <c r="K6" s="1">
        <v>100</v>
      </c>
      <c r="L6" s="6">
        <v>0.29899999999999999</v>
      </c>
      <c r="M6" s="3">
        <v>15989</v>
      </c>
      <c r="N6" s="6">
        <v>0.628</v>
      </c>
      <c r="O6" s="3">
        <v>33583</v>
      </c>
      <c r="P6" s="6">
        <v>0</v>
      </c>
      <c r="Q6" s="3">
        <v>0</v>
      </c>
      <c r="R6" s="3">
        <v>49572</v>
      </c>
      <c r="S6" s="6">
        <v>0.92700000000000005</v>
      </c>
      <c r="T6" s="14">
        <v>10069164</v>
      </c>
      <c r="U6" s="4">
        <v>8</v>
      </c>
      <c r="V6" s="12">
        <v>39082</v>
      </c>
      <c r="W6" s="4">
        <v>2</v>
      </c>
      <c r="X6" s="5">
        <v>15</v>
      </c>
      <c r="Y6" s="16">
        <v>44546</v>
      </c>
    </row>
    <row r="7" spans="1:25" s="1" customFormat="1" ht="12" x14ac:dyDescent="0.2">
      <c r="A7" s="1">
        <v>9211366</v>
      </c>
      <c r="B7" s="2">
        <v>3</v>
      </c>
      <c r="C7" s="1" t="s">
        <v>38</v>
      </c>
      <c r="D7" s="1">
        <v>609110007</v>
      </c>
      <c r="E7" s="1" t="s">
        <v>1</v>
      </c>
      <c r="F7" s="1">
        <v>53476</v>
      </c>
      <c r="G7" s="1">
        <v>2009</v>
      </c>
      <c r="H7" s="1">
        <v>127666</v>
      </c>
      <c r="I7" s="1">
        <v>6</v>
      </c>
      <c r="J7" s="11">
        <v>44530</v>
      </c>
      <c r="K7" s="1">
        <v>100</v>
      </c>
      <c r="L7" s="6">
        <v>0.71699999999999997</v>
      </c>
      <c r="M7" s="3">
        <v>38342</v>
      </c>
      <c r="N7" s="6">
        <v>1.1180000000000001</v>
      </c>
      <c r="O7" s="3">
        <v>59786</v>
      </c>
      <c r="P7" s="6">
        <v>0</v>
      </c>
      <c r="Q7" s="3">
        <v>0</v>
      </c>
      <c r="R7" s="3">
        <v>98128</v>
      </c>
      <c r="S7" s="6">
        <v>1.835</v>
      </c>
      <c r="T7" s="14">
        <v>10082478</v>
      </c>
      <c r="U7" s="4">
        <v>12</v>
      </c>
      <c r="V7" s="12">
        <v>39813</v>
      </c>
      <c r="W7" s="4">
        <v>2</v>
      </c>
      <c r="X7" s="5">
        <v>15</v>
      </c>
      <c r="Y7" s="16">
        <v>44546</v>
      </c>
    </row>
    <row r="8" spans="1:25" s="1" customFormat="1" ht="12" x14ac:dyDescent="0.2">
      <c r="A8" s="1">
        <v>8501431</v>
      </c>
      <c r="B8" s="2">
        <v>5</v>
      </c>
      <c r="C8" s="1" t="s">
        <v>37</v>
      </c>
      <c r="D8" s="1">
        <v>609110007</v>
      </c>
      <c r="E8" s="1" t="s">
        <v>1</v>
      </c>
      <c r="F8" s="1">
        <v>53476</v>
      </c>
      <c r="G8" s="1">
        <v>2009</v>
      </c>
      <c r="H8" s="1">
        <v>127604</v>
      </c>
      <c r="I8" s="1">
        <v>6</v>
      </c>
      <c r="J8" s="11">
        <v>44528</v>
      </c>
      <c r="K8" s="1">
        <v>100</v>
      </c>
      <c r="L8" s="6">
        <v>1.1739999999999999</v>
      </c>
      <c r="M8" s="3">
        <v>62781</v>
      </c>
      <c r="N8" s="6">
        <v>1.7430000000000001</v>
      </c>
      <c r="O8" s="3">
        <v>93209</v>
      </c>
      <c r="P8" s="6">
        <v>0</v>
      </c>
      <c r="Q8" s="3">
        <v>0</v>
      </c>
      <c r="R8" s="3">
        <v>155990</v>
      </c>
      <c r="S8" s="6">
        <v>2.9169999999999998</v>
      </c>
      <c r="T8" s="14">
        <v>10077736</v>
      </c>
      <c r="U8" s="4">
        <v>12</v>
      </c>
      <c r="V8" s="12">
        <v>39813</v>
      </c>
      <c r="W8" s="4">
        <v>2</v>
      </c>
      <c r="X8" s="5">
        <v>15</v>
      </c>
      <c r="Y8" s="16">
        <v>44546</v>
      </c>
    </row>
    <row r="9" spans="1:25" s="1" customFormat="1" ht="12" x14ac:dyDescent="0.2">
      <c r="A9" s="1">
        <v>13932074</v>
      </c>
      <c r="B9" s="2">
        <v>3</v>
      </c>
      <c r="C9" s="1" t="s">
        <v>43</v>
      </c>
      <c r="D9" s="1">
        <v>609110007</v>
      </c>
      <c r="E9" s="1" t="s">
        <v>1</v>
      </c>
      <c r="F9" s="1">
        <v>53476</v>
      </c>
      <c r="G9" s="1">
        <v>2021</v>
      </c>
      <c r="H9" s="1">
        <v>127643</v>
      </c>
      <c r="I9" s="1">
        <v>13</v>
      </c>
      <c r="J9" s="11">
        <v>44530</v>
      </c>
      <c r="K9" s="1">
        <v>81.150000000000006</v>
      </c>
      <c r="L9" s="6">
        <v>1.206</v>
      </c>
      <c r="M9" s="3">
        <v>64492</v>
      </c>
      <c r="N9" s="6">
        <v>0</v>
      </c>
      <c r="O9" s="3">
        <v>0</v>
      </c>
      <c r="P9" s="6">
        <v>0</v>
      </c>
      <c r="Q9" s="3">
        <v>0</v>
      </c>
      <c r="R9" s="3">
        <v>64492</v>
      </c>
      <c r="S9" s="6">
        <v>1.206</v>
      </c>
      <c r="T9" s="14">
        <v>10071735</v>
      </c>
      <c r="U9" s="4">
        <v>8</v>
      </c>
      <c r="V9" s="12">
        <v>44712</v>
      </c>
      <c r="W9" s="4">
        <v>1</v>
      </c>
      <c r="X9" s="5">
        <v>12</v>
      </c>
      <c r="Y9" s="16">
        <v>44546</v>
      </c>
    </row>
    <row r="10" spans="1:25" s="1" customFormat="1" ht="12" x14ac:dyDescent="0.2">
      <c r="A10" s="1">
        <v>10937120</v>
      </c>
      <c r="B10" s="2">
        <v>3</v>
      </c>
      <c r="C10" s="1" t="s">
        <v>23</v>
      </c>
      <c r="D10" s="1">
        <v>609110007</v>
      </c>
      <c r="E10" s="1" t="s">
        <v>1</v>
      </c>
      <c r="F10" s="1">
        <v>53476</v>
      </c>
      <c r="G10" s="1">
        <v>2021</v>
      </c>
      <c r="H10" s="1">
        <v>127375</v>
      </c>
      <c r="I10" s="1">
        <v>24</v>
      </c>
      <c r="J10" s="11">
        <v>44502</v>
      </c>
      <c r="K10" s="1">
        <v>15.23</v>
      </c>
      <c r="L10" s="6">
        <v>0.42699999999999999</v>
      </c>
      <c r="M10" s="3">
        <v>22834</v>
      </c>
      <c r="N10" s="6">
        <v>0</v>
      </c>
      <c r="O10" s="3">
        <v>0</v>
      </c>
      <c r="P10" s="6">
        <v>0</v>
      </c>
      <c r="Q10" s="3">
        <v>0</v>
      </c>
      <c r="R10" s="3">
        <v>22834</v>
      </c>
      <c r="S10" s="6">
        <v>0.42699999999999999</v>
      </c>
      <c r="T10" s="14">
        <v>10035576</v>
      </c>
      <c r="U10" s="4">
        <v>4</v>
      </c>
      <c r="V10" s="12">
        <v>44561</v>
      </c>
      <c r="W10" s="4">
        <v>1</v>
      </c>
      <c r="X10" s="5">
        <v>12</v>
      </c>
      <c r="Y10" s="16">
        <v>44546</v>
      </c>
    </row>
    <row r="11" spans="1:25" s="1" customFormat="1" ht="12" x14ac:dyDescent="0.2">
      <c r="A11" s="1">
        <v>16424489</v>
      </c>
      <c r="B11" s="2" t="s">
        <v>0</v>
      </c>
      <c r="C11" s="1" t="s">
        <v>44</v>
      </c>
      <c r="D11" s="1">
        <v>609110007</v>
      </c>
      <c r="E11" s="1" t="s">
        <v>1</v>
      </c>
      <c r="F11" s="1">
        <v>53476</v>
      </c>
      <c r="G11" s="1">
        <v>2021</v>
      </c>
      <c r="H11" s="1">
        <v>127651</v>
      </c>
      <c r="I11" s="1">
        <v>5</v>
      </c>
      <c r="J11" s="11">
        <v>44530</v>
      </c>
      <c r="K11" s="1">
        <v>31.59</v>
      </c>
      <c r="L11" s="6">
        <v>1.1659999999999999</v>
      </c>
      <c r="M11" s="3">
        <v>62353</v>
      </c>
      <c r="N11" s="6">
        <v>0</v>
      </c>
      <c r="O11" s="3">
        <v>0</v>
      </c>
      <c r="P11" s="6">
        <v>0</v>
      </c>
      <c r="Q11" s="3">
        <v>0</v>
      </c>
      <c r="R11" s="3">
        <v>62353</v>
      </c>
      <c r="S11" s="6">
        <v>1.1659999999999999</v>
      </c>
      <c r="T11" s="14">
        <v>10095675</v>
      </c>
      <c r="U11" s="4">
        <v>8</v>
      </c>
      <c r="V11" s="12">
        <v>44712</v>
      </c>
      <c r="W11" s="4">
        <v>1</v>
      </c>
      <c r="X11" s="5">
        <v>12</v>
      </c>
      <c r="Y11" s="16">
        <v>44546</v>
      </c>
    </row>
    <row r="12" spans="1:25" s="1" customFormat="1" ht="12" x14ac:dyDescent="0.2">
      <c r="A12" s="1">
        <v>15737302</v>
      </c>
      <c r="B12" s="2">
        <v>1</v>
      </c>
      <c r="C12" s="1" t="s">
        <v>28</v>
      </c>
      <c r="D12" s="1">
        <v>609110007</v>
      </c>
      <c r="E12" s="1" t="s">
        <v>1</v>
      </c>
      <c r="F12" s="1">
        <v>53476</v>
      </c>
      <c r="G12" s="1">
        <v>2021</v>
      </c>
      <c r="H12" s="1">
        <v>127647</v>
      </c>
      <c r="I12" s="1">
        <v>4</v>
      </c>
      <c r="J12" s="11">
        <v>44530</v>
      </c>
      <c r="K12" s="1">
        <v>37.119999999999997</v>
      </c>
      <c r="L12" s="6">
        <v>0.24299999999999999</v>
      </c>
      <c r="M12" s="3">
        <v>12995</v>
      </c>
      <c r="N12" s="6">
        <v>0</v>
      </c>
      <c r="O12" s="3">
        <v>0</v>
      </c>
      <c r="P12" s="6">
        <v>0</v>
      </c>
      <c r="Q12" s="3">
        <v>0</v>
      </c>
      <c r="R12" s="3">
        <v>12995</v>
      </c>
      <c r="S12" s="6">
        <v>0.24299999999999999</v>
      </c>
      <c r="T12" s="14">
        <v>10093365</v>
      </c>
      <c r="U12" s="4">
        <v>8</v>
      </c>
      <c r="V12" s="12">
        <v>44712</v>
      </c>
      <c r="W12" s="4">
        <v>1</v>
      </c>
      <c r="X12" s="5">
        <v>12</v>
      </c>
      <c r="Y12" s="16">
        <v>44546</v>
      </c>
    </row>
    <row r="13" spans="1:25" s="1" customFormat="1" ht="12" x14ac:dyDescent="0.2">
      <c r="A13" s="1">
        <v>12880651</v>
      </c>
      <c r="B13" s="2">
        <v>2</v>
      </c>
      <c r="C13" s="1" t="s">
        <v>18</v>
      </c>
      <c r="D13" s="1">
        <v>609110007</v>
      </c>
      <c r="E13" s="1" t="s">
        <v>1</v>
      </c>
      <c r="F13" s="1">
        <v>53476</v>
      </c>
      <c r="G13" s="1">
        <v>2021</v>
      </c>
      <c r="H13" s="1">
        <v>127636</v>
      </c>
      <c r="I13" s="1">
        <v>14</v>
      </c>
      <c r="J13" s="11">
        <v>44530</v>
      </c>
      <c r="K13" s="1">
        <v>89.58</v>
      </c>
      <c r="L13" s="6">
        <v>2.3279999999999998</v>
      </c>
      <c r="M13" s="3">
        <v>124492</v>
      </c>
      <c r="N13" s="6">
        <v>0</v>
      </c>
      <c r="O13" s="3">
        <v>0</v>
      </c>
      <c r="P13" s="6">
        <v>0</v>
      </c>
      <c r="Q13" s="3">
        <v>0</v>
      </c>
      <c r="R13" s="3">
        <v>124492</v>
      </c>
      <c r="S13" s="6">
        <v>2.3279999999999998</v>
      </c>
      <c r="T13" s="14">
        <v>10052099</v>
      </c>
      <c r="U13" s="4">
        <v>8</v>
      </c>
      <c r="V13" s="12">
        <v>44712</v>
      </c>
      <c r="W13" s="4">
        <v>1</v>
      </c>
      <c r="X13" s="5">
        <v>12</v>
      </c>
      <c r="Y13" s="16">
        <v>44546</v>
      </c>
    </row>
    <row r="14" spans="1:25" s="1" customFormat="1" ht="12" x14ac:dyDescent="0.2">
      <c r="A14" s="1">
        <v>16796840</v>
      </c>
      <c r="B14" s="2">
        <v>6</v>
      </c>
      <c r="C14" s="1" t="s">
        <v>45</v>
      </c>
      <c r="D14" s="1">
        <v>609110007</v>
      </c>
      <c r="E14" s="1" t="s">
        <v>1</v>
      </c>
      <c r="F14" s="1">
        <v>53476</v>
      </c>
      <c r="G14" s="1">
        <v>2021</v>
      </c>
      <c r="H14" s="1">
        <v>127677</v>
      </c>
      <c r="I14" s="1">
        <v>4</v>
      </c>
      <c r="J14" s="11">
        <v>44530</v>
      </c>
      <c r="K14" s="1">
        <v>76.400000000000006</v>
      </c>
      <c r="L14" s="6">
        <v>4.5839999999999996</v>
      </c>
      <c r="M14" s="3">
        <v>245134</v>
      </c>
      <c r="N14" s="6">
        <v>0</v>
      </c>
      <c r="O14" s="3">
        <v>0</v>
      </c>
      <c r="P14" s="6">
        <v>0</v>
      </c>
      <c r="Q14" s="3">
        <v>0</v>
      </c>
      <c r="R14" s="3">
        <v>245134</v>
      </c>
      <c r="S14" s="6">
        <v>4.5839999999999996</v>
      </c>
      <c r="T14" s="14">
        <v>10095794</v>
      </c>
      <c r="U14" s="4">
        <v>8</v>
      </c>
      <c r="V14" s="12">
        <v>44561</v>
      </c>
      <c r="W14" s="4">
        <v>1</v>
      </c>
      <c r="X14" s="5">
        <v>12</v>
      </c>
      <c r="Y14" s="16">
        <v>44546</v>
      </c>
    </row>
    <row r="15" spans="1:25" s="1" customFormat="1" ht="12" x14ac:dyDescent="0.2">
      <c r="A15" s="1">
        <v>16796840</v>
      </c>
      <c r="B15" s="2">
        <v>6</v>
      </c>
      <c r="C15" s="1" t="s">
        <v>45</v>
      </c>
      <c r="D15" s="1">
        <v>609110007</v>
      </c>
      <c r="E15" s="1" t="s">
        <v>1</v>
      </c>
      <c r="F15" s="1">
        <v>53476</v>
      </c>
      <c r="G15" s="1">
        <v>2021</v>
      </c>
      <c r="H15" s="1">
        <v>127678</v>
      </c>
      <c r="I15" s="1">
        <v>4</v>
      </c>
      <c r="J15" s="11">
        <v>44530</v>
      </c>
      <c r="K15" s="1">
        <v>76.400000000000006</v>
      </c>
      <c r="L15" s="6">
        <v>1.351</v>
      </c>
      <c r="M15" s="3">
        <v>72246</v>
      </c>
      <c r="N15" s="6">
        <v>0</v>
      </c>
      <c r="O15" s="3">
        <v>0</v>
      </c>
      <c r="P15" s="6">
        <v>0</v>
      </c>
      <c r="Q15" s="3">
        <v>0</v>
      </c>
      <c r="R15" s="3">
        <v>72246</v>
      </c>
      <c r="S15" s="6">
        <v>1.351</v>
      </c>
      <c r="T15" s="14">
        <v>10095794</v>
      </c>
      <c r="U15" s="4">
        <v>8</v>
      </c>
      <c r="V15" s="12">
        <v>44561</v>
      </c>
      <c r="W15" s="4">
        <v>1</v>
      </c>
      <c r="X15" s="5">
        <v>12</v>
      </c>
      <c r="Y15" s="16">
        <v>44546</v>
      </c>
    </row>
    <row r="16" spans="1:25" s="1" customFormat="1" ht="12" x14ac:dyDescent="0.2">
      <c r="A16" s="1">
        <v>16796840</v>
      </c>
      <c r="B16" s="2">
        <v>6</v>
      </c>
      <c r="C16" s="1" t="s">
        <v>45</v>
      </c>
      <c r="D16" s="1">
        <v>609110007</v>
      </c>
      <c r="E16" s="1" t="s">
        <v>1</v>
      </c>
      <c r="F16" s="1">
        <v>53476</v>
      </c>
      <c r="G16" s="1">
        <v>2022</v>
      </c>
      <c r="H16" s="1">
        <v>127679</v>
      </c>
      <c r="I16" s="1">
        <v>5</v>
      </c>
      <c r="J16" s="11">
        <v>44530</v>
      </c>
      <c r="K16" s="1">
        <v>76.400000000000006</v>
      </c>
      <c r="L16" s="6">
        <v>1E-3</v>
      </c>
      <c r="M16" s="3">
        <v>53</v>
      </c>
      <c r="N16" s="6">
        <v>0</v>
      </c>
      <c r="O16" s="3">
        <v>0</v>
      </c>
      <c r="P16" s="6">
        <v>0</v>
      </c>
      <c r="Q16" s="3">
        <v>0</v>
      </c>
      <c r="R16" s="3">
        <v>53</v>
      </c>
      <c r="S16" s="6">
        <v>1E-3</v>
      </c>
      <c r="T16" s="14">
        <v>10095794</v>
      </c>
      <c r="U16" s="4">
        <v>8</v>
      </c>
      <c r="V16" s="12">
        <v>44926</v>
      </c>
      <c r="W16" s="4">
        <v>1</v>
      </c>
      <c r="X16" s="5">
        <v>12</v>
      </c>
      <c r="Y16" s="16">
        <v>44546</v>
      </c>
    </row>
    <row r="17" spans="1:25" s="1" customFormat="1" ht="12" x14ac:dyDescent="0.2">
      <c r="A17" s="1">
        <v>16796840</v>
      </c>
      <c r="B17" s="2">
        <v>6</v>
      </c>
      <c r="C17" s="1" t="s">
        <v>45</v>
      </c>
      <c r="D17" s="1">
        <v>609110007</v>
      </c>
      <c r="E17" s="1" t="s">
        <v>1</v>
      </c>
      <c r="F17" s="1">
        <v>53476</v>
      </c>
      <c r="G17" s="1">
        <v>2021</v>
      </c>
      <c r="H17" s="1">
        <v>127628</v>
      </c>
      <c r="I17" s="1">
        <v>4</v>
      </c>
      <c r="J17" s="11">
        <v>44529</v>
      </c>
      <c r="K17" s="1">
        <v>76.400000000000006</v>
      </c>
      <c r="L17" s="6">
        <v>4.53</v>
      </c>
      <c r="M17" s="3">
        <v>242246</v>
      </c>
      <c r="N17" s="6">
        <v>0</v>
      </c>
      <c r="O17" s="3">
        <v>0</v>
      </c>
      <c r="P17" s="6">
        <v>0</v>
      </c>
      <c r="Q17" s="3">
        <v>0</v>
      </c>
      <c r="R17" s="3">
        <v>242246</v>
      </c>
      <c r="S17" s="6">
        <v>4.53</v>
      </c>
      <c r="T17" s="14">
        <v>10095794</v>
      </c>
      <c r="U17" s="4">
        <v>8</v>
      </c>
      <c r="V17" s="12">
        <v>44561</v>
      </c>
      <c r="W17" s="4">
        <v>1</v>
      </c>
      <c r="X17" s="5">
        <v>12</v>
      </c>
      <c r="Y17" s="16">
        <v>44546</v>
      </c>
    </row>
    <row r="18" spans="1:25" s="1" customFormat="1" ht="12" x14ac:dyDescent="0.2">
      <c r="A18" s="1">
        <v>16796840</v>
      </c>
      <c r="B18" s="2">
        <v>6</v>
      </c>
      <c r="C18" s="1" t="s">
        <v>45</v>
      </c>
      <c r="D18" s="1">
        <v>609110007</v>
      </c>
      <c r="E18" s="1" t="s">
        <v>1</v>
      </c>
      <c r="F18" s="1">
        <v>53476</v>
      </c>
      <c r="G18" s="1">
        <v>2021</v>
      </c>
      <c r="H18" s="1">
        <v>127629</v>
      </c>
      <c r="I18" s="1">
        <v>4</v>
      </c>
      <c r="J18" s="11">
        <v>44529</v>
      </c>
      <c r="K18" s="1">
        <v>76.400000000000006</v>
      </c>
      <c r="L18" s="6">
        <v>5.5E-2</v>
      </c>
      <c r="M18" s="3">
        <v>2941</v>
      </c>
      <c r="N18" s="6">
        <v>0</v>
      </c>
      <c r="O18" s="3">
        <v>0</v>
      </c>
      <c r="P18" s="6">
        <v>0</v>
      </c>
      <c r="Q18" s="3">
        <v>0</v>
      </c>
      <c r="R18" s="3">
        <v>2941</v>
      </c>
      <c r="S18" s="6">
        <v>5.5E-2</v>
      </c>
      <c r="T18" s="14">
        <v>10095794</v>
      </c>
      <c r="U18" s="4">
        <v>8</v>
      </c>
      <c r="V18" s="12">
        <v>44561</v>
      </c>
      <c r="W18" s="4">
        <v>1</v>
      </c>
      <c r="X18" s="5">
        <v>12</v>
      </c>
      <c r="Y18" s="16">
        <v>44546</v>
      </c>
    </row>
    <row r="19" spans="1:25" s="1" customFormat="1" ht="12" x14ac:dyDescent="0.2">
      <c r="A19" s="1">
        <v>17651314</v>
      </c>
      <c r="B19" s="2">
        <v>4</v>
      </c>
      <c r="C19" s="1" t="s">
        <v>24</v>
      </c>
      <c r="D19" s="1">
        <v>609110007</v>
      </c>
      <c r="E19" s="1" t="s">
        <v>1</v>
      </c>
      <c r="F19" s="1">
        <v>53476</v>
      </c>
      <c r="G19" s="1">
        <v>2021</v>
      </c>
      <c r="H19" s="1">
        <v>127632</v>
      </c>
      <c r="I19" s="1">
        <v>3</v>
      </c>
      <c r="J19" s="11">
        <v>44529</v>
      </c>
      <c r="K19" s="1">
        <v>98.04</v>
      </c>
      <c r="L19" s="6">
        <v>1.3380000000000001</v>
      </c>
      <c r="M19" s="3">
        <v>71551</v>
      </c>
      <c r="N19" s="6">
        <v>0</v>
      </c>
      <c r="O19" s="3">
        <v>0</v>
      </c>
      <c r="P19" s="6">
        <v>0</v>
      </c>
      <c r="Q19" s="3">
        <v>0</v>
      </c>
      <c r="R19" s="3">
        <v>71551</v>
      </c>
      <c r="S19" s="6">
        <v>1.3380000000000001</v>
      </c>
      <c r="T19" s="14">
        <v>10097183</v>
      </c>
      <c r="U19" s="4">
        <v>8</v>
      </c>
      <c r="V19" s="12">
        <v>44712</v>
      </c>
      <c r="W19" s="4">
        <v>1</v>
      </c>
      <c r="X19" s="5">
        <v>12</v>
      </c>
      <c r="Y19" s="16">
        <v>44546</v>
      </c>
    </row>
    <row r="20" spans="1:25" s="1" customFormat="1" ht="12" x14ac:dyDescent="0.2">
      <c r="A20" s="1">
        <v>15667266</v>
      </c>
      <c r="B20" s="2">
        <v>1</v>
      </c>
      <c r="C20" s="1" t="s">
        <v>17</v>
      </c>
      <c r="D20" s="1">
        <v>609110007</v>
      </c>
      <c r="E20" s="1" t="s">
        <v>1</v>
      </c>
      <c r="F20" s="1">
        <v>53476</v>
      </c>
      <c r="G20" s="1">
        <v>2021</v>
      </c>
      <c r="H20" s="1">
        <v>127613</v>
      </c>
      <c r="I20" s="1">
        <v>9</v>
      </c>
      <c r="J20" s="11">
        <v>44529</v>
      </c>
      <c r="K20" s="1">
        <v>3.11</v>
      </c>
      <c r="L20" s="6">
        <v>7.0000000000000007E-2</v>
      </c>
      <c r="M20" s="3">
        <v>3743</v>
      </c>
      <c r="N20" s="6">
        <v>0</v>
      </c>
      <c r="O20" s="3">
        <v>0</v>
      </c>
      <c r="P20" s="6">
        <v>0</v>
      </c>
      <c r="Q20" s="3">
        <v>0</v>
      </c>
      <c r="R20" s="3">
        <v>3743</v>
      </c>
      <c r="S20" s="6">
        <v>7.0000000000000007E-2</v>
      </c>
      <c r="T20" s="14">
        <v>10079651</v>
      </c>
      <c r="U20" s="4">
        <v>8</v>
      </c>
      <c r="V20" s="12">
        <v>44712</v>
      </c>
      <c r="W20" s="4">
        <v>1</v>
      </c>
      <c r="X20" s="5">
        <v>12</v>
      </c>
      <c r="Y20" s="16">
        <v>44546</v>
      </c>
    </row>
    <row r="21" spans="1:25" s="1" customFormat="1" ht="12" x14ac:dyDescent="0.2">
      <c r="A21" s="1">
        <v>15544039</v>
      </c>
      <c r="B21" s="2">
        <v>2</v>
      </c>
      <c r="C21" s="1" t="s">
        <v>3</v>
      </c>
      <c r="D21" s="1">
        <v>609110007</v>
      </c>
      <c r="E21" s="1" t="s">
        <v>1</v>
      </c>
      <c r="F21" s="1">
        <v>53476</v>
      </c>
      <c r="G21" s="1">
        <v>2021</v>
      </c>
      <c r="H21" s="1">
        <v>127627</v>
      </c>
      <c r="I21" s="1">
        <v>10</v>
      </c>
      <c r="J21" s="11">
        <v>44529</v>
      </c>
      <c r="K21" s="1">
        <v>28.97</v>
      </c>
      <c r="L21" s="6">
        <v>0.433</v>
      </c>
      <c r="M21" s="3">
        <v>23155</v>
      </c>
      <c r="N21" s="6">
        <v>0</v>
      </c>
      <c r="O21" s="3">
        <v>0</v>
      </c>
      <c r="P21" s="6">
        <v>0</v>
      </c>
      <c r="Q21" s="3">
        <v>0</v>
      </c>
      <c r="R21" s="3">
        <v>23155</v>
      </c>
      <c r="S21" s="6">
        <v>0.433</v>
      </c>
      <c r="T21" s="14">
        <v>10076229</v>
      </c>
      <c r="U21" s="4">
        <v>8</v>
      </c>
      <c r="V21" s="12">
        <v>44561</v>
      </c>
      <c r="W21" s="4">
        <v>1</v>
      </c>
      <c r="X21" s="5">
        <v>12</v>
      </c>
      <c r="Y21" s="16">
        <v>44546</v>
      </c>
    </row>
    <row r="22" spans="1:25" s="1" customFormat="1" ht="12" x14ac:dyDescent="0.2">
      <c r="A22" s="1">
        <v>13461217</v>
      </c>
      <c r="B22" s="2">
        <v>7</v>
      </c>
      <c r="C22" s="1" t="s">
        <v>47</v>
      </c>
      <c r="D22" s="1">
        <v>609110007</v>
      </c>
      <c r="E22" s="1" t="s">
        <v>1</v>
      </c>
      <c r="F22" s="1">
        <v>53476</v>
      </c>
      <c r="G22" s="1">
        <v>2021</v>
      </c>
      <c r="H22" s="1">
        <v>127586</v>
      </c>
      <c r="I22" s="1">
        <v>14</v>
      </c>
      <c r="J22" s="11">
        <v>44528</v>
      </c>
      <c r="K22" s="1">
        <v>5.79</v>
      </c>
      <c r="L22" s="6">
        <v>0.54300000000000004</v>
      </c>
      <c r="M22" s="3">
        <v>29037</v>
      </c>
      <c r="N22" s="6">
        <v>0</v>
      </c>
      <c r="O22" s="3">
        <v>0</v>
      </c>
      <c r="P22" s="6">
        <v>0</v>
      </c>
      <c r="Q22" s="3">
        <v>0</v>
      </c>
      <c r="R22" s="3">
        <v>29037</v>
      </c>
      <c r="S22" s="6">
        <v>0.54300000000000004</v>
      </c>
      <c r="T22" s="14">
        <v>10059262</v>
      </c>
      <c r="U22" s="4">
        <v>8</v>
      </c>
      <c r="V22" s="12">
        <v>44712</v>
      </c>
      <c r="W22" s="4">
        <v>1</v>
      </c>
      <c r="X22" s="5">
        <v>12</v>
      </c>
      <c r="Y22" s="16">
        <v>44546</v>
      </c>
    </row>
    <row r="23" spans="1:25" s="1" customFormat="1" ht="12" x14ac:dyDescent="0.2">
      <c r="A23" s="1">
        <v>17552771</v>
      </c>
      <c r="B23" s="2">
        <v>0</v>
      </c>
      <c r="C23" s="1" t="s">
        <v>48</v>
      </c>
      <c r="D23" s="1">
        <v>609110007</v>
      </c>
      <c r="E23" s="1" t="s">
        <v>1</v>
      </c>
      <c r="F23" s="1">
        <v>53476</v>
      </c>
      <c r="G23" s="1">
        <v>2021</v>
      </c>
      <c r="H23" s="1">
        <v>127594</v>
      </c>
      <c r="I23" s="1">
        <v>2</v>
      </c>
      <c r="J23" s="11">
        <v>44528</v>
      </c>
      <c r="K23" s="1">
        <v>59.75</v>
      </c>
      <c r="L23" s="6">
        <v>9.4819999999999993</v>
      </c>
      <c r="M23" s="3">
        <v>507059</v>
      </c>
      <c r="N23" s="6">
        <v>0</v>
      </c>
      <c r="O23" s="3">
        <v>0</v>
      </c>
      <c r="P23" s="6">
        <v>0</v>
      </c>
      <c r="Q23" s="3">
        <v>0</v>
      </c>
      <c r="R23" s="3">
        <v>507059</v>
      </c>
      <c r="S23" s="6">
        <v>9.4819999999999993</v>
      </c>
      <c r="T23" s="14">
        <v>10096953</v>
      </c>
      <c r="U23" s="4">
        <v>8</v>
      </c>
      <c r="V23" s="12">
        <v>44561</v>
      </c>
      <c r="W23" s="4">
        <v>1</v>
      </c>
      <c r="X23" s="5">
        <v>12</v>
      </c>
      <c r="Y23" s="16">
        <v>44546</v>
      </c>
    </row>
    <row r="24" spans="1:25" s="1" customFormat="1" ht="12" x14ac:dyDescent="0.2">
      <c r="A24" s="1">
        <v>18743761</v>
      </c>
      <c r="B24" s="2" t="s">
        <v>0</v>
      </c>
      <c r="C24" s="1" t="s">
        <v>12</v>
      </c>
      <c r="D24" s="1">
        <v>609110007</v>
      </c>
      <c r="E24" s="1" t="s">
        <v>1</v>
      </c>
      <c r="F24" s="1">
        <v>53476</v>
      </c>
      <c r="G24" s="1">
        <v>2021</v>
      </c>
      <c r="H24" s="1">
        <v>127596</v>
      </c>
      <c r="I24" s="1">
        <v>8</v>
      </c>
      <c r="J24" s="11">
        <v>44528</v>
      </c>
      <c r="K24" s="1">
        <v>38.08</v>
      </c>
      <c r="L24" s="6">
        <v>0.32100000000000001</v>
      </c>
      <c r="M24" s="3">
        <v>17166</v>
      </c>
      <c r="N24" s="6">
        <v>0</v>
      </c>
      <c r="O24" s="3">
        <v>0</v>
      </c>
      <c r="P24" s="6">
        <v>0</v>
      </c>
      <c r="Q24" s="3">
        <v>0</v>
      </c>
      <c r="R24" s="3">
        <v>17166</v>
      </c>
      <c r="S24" s="6">
        <v>0.32100000000000001</v>
      </c>
      <c r="T24" s="14">
        <v>10081138</v>
      </c>
      <c r="U24" s="4">
        <v>8</v>
      </c>
      <c r="V24" s="12">
        <v>44561</v>
      </c>
      <c r="W24" s="4">
        <v>1</v>
      </c>
      <c r="X24" s="5">
        <v>12</v>
      </c>
      <c r="Y24" s="16">
        <v>44546</v>
      </c>
    </row>
    <row r="25" spans="1:25" s="1" customFormat="1" ht="12" x14ac:dyDescent="0.2">
      <c r="A25" s="1">
        <v>16640854</v>
      </c>
      <c r="B25" s="2">
        <v>7</v>
      </c>
      <c r="C25" s="1" t="s">
        <v>49</v>
      </c>
      <c r="D25" s="1">
        <v>609110007</v>
      </c>
      <c r="E25" s="1" t="s">
        <v>1</v>
      </c>
      <c r="F25" s="1">
        <v>53476</v>
      </c>
      <c r="G25" s="1">
        <v>2021</v>
      </c>
      <c r="H25" s="1">
        <v>127577</v>
      </c>
      <c r="I25" s="1">
        <v>7</v>
      </c>
      <c r="J25" s="11">
        <v>44527</v>
      </c>
      <c r="K25" s="1">
        <v>86.39</v>
      </c>
      <c r="L25" s="6">
        <v>3.2309999999999999</v>
      </c>
      <c r="M25" s="3">
        <v>172781</v>
      </c>
      <c r="N25" s="6">
        <v>0</v>
      </c>
      <c r="O25" s="3">
        <v>0</v>
      </c>
      <c r="P25" s="6">
        <v>0</v>
      </c>
      <c r="Q25" s="3">
        <v>0</v>
      </c>
      <c r="R25" s="3">
        <v>172781</v>
      </c>
      <c r="S25" s="6">
        <v>3.2309999999999999</v>
      </c>
      <c r="T25" s="14">
        <v>10091467</v>
      </c>
      <c r="U25" s="4">
        <v>8</v>
      </c>
      <c r="V25" s="12">
        <v>44712</v>
      </c>
      <c r="W25" s="4">
        <v>1</v>
      </c>
      <c r="X25" s="5">
        <v>12</v>
      </c>
      <c r="Y25" s="16">
        <v>44546</v>
      </c>
    </row>
    <row r="26" spans="1:25" s="1" customFormat="1" ht="12" x14ac:dyDescent="0.2">
      <c r="A26" s="1">
        <v>15666230</v>
      </c>
      <c r="B26" s="2">
        <v>5</v>
      </c>
      <c r="C26" s="1" t="s">
        <v>13</v>
      </c>
      <c r="D26" s="1">
        <v>609110007</v>
      </c>
      <c r="E26" s="1" t="s">
        <v>1</v>
      </c>
      <c r="F26" s="1">
        <v>53476</v>
      </c>
      <c r="G26" s="1">
        <v>2021</v>
      </c>
      <c r="H26" s="1">
        <v>127601</v>
      </c>
      <c r="I26" s="1">
        <v>11</v>
      </c>
      <c r="J26" s="11">
        <v>44527</v>
      </c>
      <c r="K26" s="1">
        <v>14.66</v>
      </c>
      <c r="L26" s="6">
        <v>0.11</v>
      </c>
      <c r="M26" s="3">
        <v>5882</v>
      </c>
      <c r="N26" s="6">
        <v>0</v>
      </c>
      <c r="O26" s="3">
        <v>0</v>
      </c>
      <c r="P26" s="6">
        <v>0</v>
      </c>
      <c r="Q26" s="3">
        <v>0</v>
      </c>
      <c r="R26" s="3">
        <v>5882</v>
      </c>
      <c r="S26" s="6">
        <v>0.11</v>
      </c>
      <c r="T26" s="14">
        <v>10076682</v>
      </c>
      <c r="U26" s="4">
        <v>8</v>
      </c>
      <c r="V26" s="12">
        <v>44561</v>
      </c>
      <c r="W26" s="4">
        <v>1</v>
      </c>
      <c r="X26" s="5">
        <v>12</v>
      </c>
      <c r="Y26" s="16">
        <v>44546</v>
      </c>
    </row>
    <row r="27" spans="1:25" s="1" customFormat="1" ht="12" x14ac:dyDescent="0.2">
      <c r="A27" s="1">
        <v>15916094</v>
      </c>
      <c r="B27" s="2">
        <v>7</v>
      </c>
      <c r="C27" s="1" t="s">
        <v>20</v>
      </c>
      <c r="D27" s="1">
        <v>609110007</v>
      </c>
      <c r="E27" s="1" t="s">
        <v>1</v>
      </c>
      <c r="F27" s="1">
        <v>53476</v>
      </c>
      <c r="G27" s="1">
        <v>2021</v>
      </c>
      <c r="H27" s="1">
        <v>127688</v>
      </c>
      <c r="I27" s="1">
        <v>9</v>
      </c>
      <c r="J27" s="11">
        <v>44526</v>
      </c>
      <c r="K27" s="1">
        <v>35.93</v>
      </c>
      <c r="L27" s="6">
        <v>0.67200000000000004</v>
      </c>
      <c r="M27" s="3">
        <v>35936</v>
      </c>
      <c r="N27" s="6">
        <v>0</v>
      </c>
      <c r="O27" s="3">
        <v>0</v>
      </c>
      <c r="P27" s="6">
        <v>0</v>
      </c>
      <c r="Q27" s="3">
        <v>0</v>
      </c>
      <c r="R27" s="3">
        <v>35936</v>
      </c>
      <c r="S27" s="6">
        <v>0.67200000000000004</v>
      </c>
      <c r="T27" s="14">
        <v>10080389</v>
      </c>
      <c r="U27" s="4">
        <v>8</v>
      </c>
      <c r="V27" s="12">
        <v>44561</v>
      </c>
      <c r="W27" s="4">
        <v>1</v>
      </c>
      <c r="X27" s="5">
        <v>12</v>
      </c>
      <c r="Y27" s="16">
        <v>44546</v>
      </c>
    </row>
    <row r="28" spans="1:25" s="1" customFormat="1" ht="12" x14ac:dyDescent="0.2">
      <c r="A28" s="1">
        <v>16131922</v>
      </c>
      <c r="B28" s="2">
        <v>8</v>
      </c>
      <c r="C28" s="1" t="s">
        <v>9</v>
      </c>
      <c r="D28" s="1">
        <v>609110007</v>
      </c>
      <c r="E28" s="1" t="s">
        <v>1</v>
      </c>
      <c r="F28" s="1">
        <v>53476</v>
      </c>
      <c r="G28" s="1">
        <v>2021</v>
      </c>
      <c r="H28" s="1">
        <v>127571</v>
      </c>
      <c r="I28" s="1">
        <v>7</v>
      </c>
      <c r="J28" s="11">
        <v>44526</v>
      </c>
      <c r="K28" s="1">
        <v>15.69</v>
      </c>
      <c r="L28" s="6">
        <v>0.32300000000000001</v>
      </c>
      <c r="M28" s="3">
        <v>17273</v>
      </c>
      <c r="N28" s="6">
        <v>0</v>
      </c>
      <c r="O28" s="3">
        <v>0</v>
      </c>
      <c r="P28" s="6">
        <v>0</v>
      </c>
      <c r="Q28" s="3">
        <v>0</v>
      </c>
      <c r="R28" s="3">
        <v>17273</v>
      </c>
      <c r="S28" s="6">
        <v>0.32300000000000001</v>
      </c>
      <c r="T28" s="14">
        <v>10087223</v>
      </c>
      <c r="U28" s="4">
        <v>8</v>
      </c>
      <c r="V28" s="12">
        <v>44712</v>
      </c>
      <c r="W28" s="4">
        <v>1</v>
      </c>
      <c r="X28" s="5">
        <v>12</v>
      </c>
      <c r="Y28" s="16">
        <v>44546</v>
      </c>
    </row>
    <row r="29" spans="1:25" s="1" customFormat="1" ht="12" x14ac:dyDescent="0.2">
      <c r="A29" s="1">
        <v>16139620</v>
      </c>
      <c r="B29" s="2">
        <v>6</v>
      </c>
      <c r="C29" s="1" t="s">
        <v>50</v>
      </c>
      <c r="D29" s="1">
        <v>609110007</v>
      </c>
      <c r="E29" s="1" t="s">
        <v>1</v>
      </c>
      <c r="F29" s="1">
        <v>53476</v>
      </c>
      <c r="G29" s="1">
        <v>2021</v>
      </c>
      <c r="H29" s="1">
        <v>127572</v>
      </c>
      <c r="I29" s="1">
        <v>3</v>
      </c>
      <c r="J29" s="11">
        <v>44526</v>
      </c>
      <c r="K29" s="1">
        <v>72.66</v>
      </c>
      <c r="L29" s="6">
        <v>8.5589999999999993</v>
      </c>
      <c r="M29" s="3">
        <v>457701</v>
      </c>
      <c r="N29" s="6">
        <v>0</v>
      </c>
      <c r="O29" s="3">
        <v>0</v>
      </c>
      <c r="P29" s="6">
        <v>0</v>
      </c>
      <c r="Q29" s="3">
        <v>0</v>
      </c>
      <c r="R29" s="3">
        <v>457701</v>
      </c>
      <c r="S29" s="6">
        <v>8.5589999999999993</v>
      </c>
      <c r="T29" s="14">
        <v>10087227</v>
      </c>
      <c r="U29" s="4">
        <v>8</v>
      </c>
      <c r="V29" s="12">
        <v>44561</v>
      </c>
      <c r="W29" s="4">
        <v>1</v>
      </c>
      <c r="X29" s="5">
        <v>12</v>
      </c>
      <c r="Y29" s="16">
        <v>44546</v>
      </c>
    </row>
    <row r="30" spans="1:25" s="1" customFormat="1" ht="12" x14ac:dyDescent="0.2">
      <c r="A30" s="1">
        <v>17252318</v>
      </c>
      <c r="B30" s="2">
        <v>8</v>
      </c>
      <c r="C30" s="1" t="s">
        <v>16</v>
      </c>
      <c r="D30" s="1">
        <v>609110007</v>
      </c>
      <c r="E30" s="1" t="s">
        <v>1</v>
      </c>
      <c r="F30" s="1">
        <v>53476</v>
      </c>
      <c r="G30" s="1">
        <v>2021</v>
      </c>
      <c r="H30" s="1">
        <v>127566</v>
      </c>
      <c r="I30" s="1">
        <v>2</v>
      </c>
      <c r="J30" s="11">
        <v>44525</v>
      </c>
      <c r="K30" s="1">
        <v>59.56</v>
      </c>
      <c r="L30" s="6">
        <v>1.681</v>
      </c>
      <c r="M30" s="3">
        <v>89893</v>
      </c>
      <c r="N30" s="6">
        <v>0</v>
      </c>
      <c r="O30" s="3">
        <v>0</v>
      </c>
      <c r="P30" s="6">
        <v>0</v>
      </c>
      <c r="Q30" s="3">
        <v>0</v>
      </c>
      <c r="R30" s="3">
        <v>89893</v>
      </c>
      <c r="S30" s="6">
        <v>1.681</v>
      </c>
      <c r="T30" s="14">
        <v>10094527</v>
      </c>
      <c r="U30" s="4">
        <v>8</v>
      </c>
      <c r="V30" s="12">
        <v>44561</v>
      </c>
      <c r="W30" s="4">
        <v>1</v>
      </c>
      <c r="X30" s="5">
        <v>12</v>
      </c>
      <c r="Y30" s="16">
        <v>44546</v>
      </c>
    </row>
    <row r="31" spans="1:25" s="1" customFormat="1" ht="12" x14ac:dyDescent="0.2">
      <c r="A31" s="1">
        <v>14147754</v>
      </c>
      <c r="B31" s="2">
        <v>4</v>
      </c>
      <c r="C31" s="1" t="s">
        <v>25</v>
      </c>
      <c r="D31" s="1">
        <v>609110007</v>
      </c>
      <c r="E31" s="1" t="s">
        <v>1</v>
      </c>
      <c r="F31" s="1">
        <v>53476</v>
      </c>
      <c r="G31" s="1">
        <v>2021</v>
      </c>
      <c r="H31" s="1">
        <v>127568</v>
      </c>
      <c r="I31" s="1">
        <v>13</v>
      </c>
      <c r="J31" s="11">
        <v>44525</v>
      </c>
      <c r="K31" s="1">
        <v>93.6</v>
      </c>
      <c r="L31" s="6">
        <v>0.93600000000000005</v>
      </c>
      <c r="M31" s="3">
        <v>50054</v>
      </c>
      <c r="N31" s="6">
        <v>0</v>
      </c>
      <c r="O31" s="3">
        <v>0</v>
      </c>
      <c r="P31" s="6">
        <v>0</v>
      </c>
      <c r="Q31" s="3">
        <v>0</v>
      </c>
      <c r="R31" s="3">
        <v>50054</v>
      </c>
      <c r="S31" s="6">
        <v>0.93600000000000005</v>
      </c>
      <c r="T31" s="14">
        <v>10071959</v>
      </c>
      <c r="U31" s="4">
        <v>8</v>
      </c>
      <c r="V31" s="12">
        <v>44712</v>
      </c>
      <c r="W31" s="4">
        <v>1</v>
      </c>
      <c r="X31" s="5">
        <v>12</v>
      </c>
      <c r="Y31" s="16">
        <v>44546</v>
      </c>
    </row>
    <row r="32" spans="1:25" s="1" customFormat="1" ht="12" x14ac:dyDescent="0.2">
      <c r="A32" s="1">
        <v>15686888</v>
      </c>
      <c r="B32" s="2">
        <v>4</v>
      </c>
      <c r="C32" s="1" t="s">
        <v>51</v>
      </c>
      <c r="D32" s="1">
        <v>609110007</v>
      </c>
      <c r="E32" s="1" t="s">
        <v>1</v>
      </c>
      <c r="F32" s="1">
        <v>53476</v>
      </c>
      <c r="G32" s="1">
        <v>2021</v>
      </c>
      <c r="H32" s="1">
        <v>127555</v>
      </c>
      <c r="I32" s="1">
        <v>8</v>
      </c>
      <c r="J32" s="11">
        <v>44524</v>
      </c>
      <c r="K32" s="1">
        <v>27.29</v>
      </c>
      <c r="L32" s="6">
        <v>5.4219999999999997</v>
      </c>
      <c r="M32" s="3">
        <v>289947</v>
      </c>
      <c r="N32" s="6">
        <v>0</v>
      </c>
      <c r="O32" s="3">
        <v>0</v>
      </c>
      <c r="P32" s="6">
        <v>0</v>
      </c>
      <c r="Q32" s="3">
        <v>0</v>
      </c>
      <c r="R32" s="3">
        <v>289947</v>
      </c>
      <c r="S32" s="6">
        <v>5.4219999999999997</v>
      </c>
      <c r="T32" s="14">
        <v>10076739</v>
      </c>
      <c r="U32" s="4">
        <v>8</v>
      </c>
      <c r="V32" s="12">
        <v>44712</v>
      </c>
      <c r="W32" s="4">
        <v>1</v>
      </c>
      <c r="X32" s="5">
        <v>12</v>
      </c>
      <c r="Y32" s="16">
        <v>44546</v>
      </c>
    </row>
    <row r="33" spans="1:25" s="1" customFormat="1" ht="12" x14ac:dyDescent="0.2">
      <c r="A33" s="1">
        <v>13923561</v>
      </c>
      <c r="B33" s="2">
        <v>4</v>
      </c>
      <c r="C33" s="1" t="s">
        <v>52</v>
      </c>
      <c r="D33" s="1">
        <v>609110007</v>
      </c>
      <c r="E33" s="1" t="s">
        <v>1</v>
      </c>
      <c r="F33" s="1">
        <v>53476</v>
      </c>
      <c r="G33" s="1">
        <v>2021</v>
      </c>
      <c r="H33" s="1">
        <v>127551</v>
      </c>
      <c r="I33" s="1">
        <v>9</v>
      </c>
      <c r="J33" s="11">
        <v>44524</v>
      </c>
      <c r="K33" s="1">
        <v>68.91</v>
      </c>
      <c r="L33" s="6">
        <v>7.42</v>
      </c>
      <c r="M33" s="3">
        <v>396792</v>
      </c>
      <c r="N33" s="6">
        <v>0</v>
      </c>
      <c r="O33" s="3">
        <v>0</v>
      </c>
      <c r="P33" s="6">
        <v>0</v>
      </c>
      <c r="Q33" s="3">
        <v>0</v>
      </c>
      <c r="R33" s="3">
        <v>396792</v>
      </c>
      <c r="S33" s="6">
        <v>7.42</v>
      </c>
      <c r="T33" s="14">
        <v>10086630</v>
      </c>
      <c r="U33" s="4">
        <v>8</v>
      </c>
      <c r="V33" s="12">
        <v>44561</v>
      </c>
      <c r="W33" s="4">
        <v>1</v>
      </c>
      <c r="X33" s="5">
        <v>12</v>
      </c>
      <c r="Y33" s="16">
        <v>44546</v>
      </c>
    </row>
    <row r="34" spans="1:25" s="1" customFormat="1" ht="12" x14ac:dyDescent="0.2">
      <c r="A34" s="1">
        <v>15542231</v>
      </c>
      <c r="B34" s="2">
        <v>9</v>
      </c>
      <c r="C34" s="1" t="s">
        <v>30</v>
      </c>
      <c r="D34" s="1">
        <v>609110007</v>
      </c>
      <c r="E34" s="1" t="s">
        <v>1</v>
      </c>
      <c r="F34" s="1">
        <v>53476</v>
      </c>
      <c r="G34" s="1">
        <v>2022</v>
      </c>
      <c r="H34" s="1">
        <v>127556</v>
      </c>
      <c r="I34" s="1">
        <v>13</v>
      </c>
      <c r="J34" s="11">
        <v>44524</v>
      </c>
      <c r="K34" s="1">
        <v>85.24</v>
      </c>
      <c r="L34" s="6">
        <v>48.427</v>
      </c>
      <c r="M34" s="3">
        <v>2589682</v>
      </c>
      <c r="N34" s="6">
        <v>0</v>
      </c>
      <c r="O34" s="3">
        <v>0</v>
      </c>
      <c r="P34" s="6">
        <v>16.141999999999999</v>
      </c>
      <c r="Q34" s="3">
        <v>863204</v>
      </c>
      <c r="R34" s="3">
        <v>2589682</v>
      </c>
      <c r="S34" s="6">
        <v>48.427</v>
      </c>
      <c r="T34" s="14">
        <v>10073531</v>
      </c>
      <c r="U34" s="4">
        <v>8</v>
      </c>
      <c r="V34" s="12">
        <v>45077</v>
      </c>
      <c r="W34" s="4">
        <v>1</v>
      </c>
      <c r="X34" s="5">
        <v>12</v>
      </c>
      <c r="Y34" s="16">
        <v>44546</v>
      </c>
    </row>
    <row r="35" spans="1:25" s="1" customFormat="1" ht="12" x14ac:dyDescent="0.2">
      <c r="A35" s="1">
        <v>16796840</v>
      </c>
      <c r="B35" s="2">
        <v>6</v>
      </c>
      <c r="C35" s="1" t="s">
        <v>45</v>
      </c>
      <c r="D35" s="1">
        <v>609110007</v>
      </c>
      <c r="E35" s="1" t="s">
        <v>1</v>
      </c>
      <c r="F35" s="1">
        <v>53476</v>
      </c>
      <c r="G35" s="1">
        <v>2021</v>
      </c>
      <c r="H35" s="1">
        <v>127547</v>
      </c>
      <c r="I35" s="1">
        <v>4</v>
      </c>
      <c r="J35" s="11">
        <v>44523</v>
      </c>
      <c r="K35" s="1">
        <v>76.400000000000006</v>
      </c>
      <c r="L35" s="6">
        <v>2.2919999999999998</v>
      </c>
      <c r="M35" s="3">
        <v>122567</v>
      </c>
      <c r="N35" s="6">
        <v>0</v>
      </c>
      <c r="O35" s="3">
        <v>0</v>
      </c>
      <c r="P35" s="6">
        <v>0</v>
      </c>
      <c r="Q35" s="3">
        <v>0</v>
      </c>
      <c r="R35" s="3">
        <v>122567</v>
      </c>
      <c r="S35" s="6">
        <v>2.2919999999999998</v>
      </c>
      <c r="T35" s="14">
        <v>10095794</v>
      </c>
      <c r="U35" s="4">
        <v>8</v>
      </c>
      <c r="V35" s="12">
        <v>44561</v>
      </c>
      <c r="W35" s="4">
        <v>1</v>
      </c>
      <c r="X35" s="5">
        <v>12</v>
      </c>
      <c r="Y35" s="16">
        <v>44546</v>
      </c>
    </row>
    <row r="36" spans="1:25" s="1" customFormat="1" ht="12" x14ac:dyDescent="0.2">
      <c r="A36" s="1">
        <v>13661889</v>
      </c>
      <c r="B36" s="2" t="s">
        <v>0</v>
      </c>
      <c r="C36" s="1" t="s">
        <v>4</v>
      </c>
      <c r="D36" s="1">
        <v>609110007</v>
      </c>
      <c r="E36" s="1" t="s">
        <v>1</v>
      </c>
      <c r="F36" s="1">
        <v>53476</v>
      </c>
      <c r="G36" s="1">
        <v>2016</v>
      </c>
      <c r="H36" s="1">
        <v>127542</v>
      </c>
      <c r="I36" s="1">
        <v>4</v>
      </c>
      <c r="J36" s="11">
        <v>44522</v>
      </c>
      <c r="K36" s="1">
        <v>86.59</v>
      </c>
      <c r="L36" s="6">
        <v>0.96199999999999997</v>
      </c>
      <c r="M36" s="3">
        <v>51444</v>
      </c>
      <c r="N36" s="6">
        <v>0.56699999999999995</v>
      </c>
      <c r="O36" s="3">
        <v>30321</v>
      </c>
      <c r="P36" s="6">
        <v>0</v>
      </c>
      <c r="Q36" s="3">
        <v>0</v>
      </c>
      <c r="R36" s="3">
        <v>81765</v>
      </c>
      <c r="S36" s="6">
        <v>1.5289999999999999</v>
      </c>
      <c r="T36" s="14">
        <v>10075026</v>
      </c>
      <c r="U36" s="4">
        <v>8</v>
      </c>
      <c r="V36" s="12">
        <v>42735</v>
      </c>
      <c r="W36" s="4">
        <v>1</v>
      </c>
      <c r="X36" s="5">
        <v>12</v>
      </c>
      <c r="Y36" s="16">
        <v>44546</v>
      </c>
    </row>
    <row r="37" spans="1:25" s="1" customFormat="1" ht="12" x14ac:dyDescent="0.2">
      <c r="A37" s="1">
        <v>17947663</v>
      </c>
      <c r="B37" s="2">
        <v>0</v>
      </c>
      <c r="C37" s="1" t="s">
        <v>53</v>
      </c>
      <c r="D37" s="1">
        <v>609110007</v>
      </c>
      <c r="E37" s="1" t="s">
        <v>1</v>
      </c>
      <c r="F37" s="1">
        <v>53476</v>
      </c>
      <c r="G37" s="1">
        <v>2021</v>
      </c>
      <c r="H37" s="1">
        <v>127525</v>
      </c>
      <c r="I37" s="1">
        <v>5</v>
      </c>
      <c r="J37" s="11">
        <v>44521</v>
      </c>
      <c r="K37" s="1">
        <v>78.959999999999994</v>
      </c>
      <c r="L37" s="6">
        <v>14.06</v>
      </c>
      <c r="M37" s="3">
        <v>751873</v>
      </c>
      <c r="N37" s="6">
        <v>0</v>
      </c>
      <c r="O37" s="3">
        <v>0</v>
      </c>
      <c r="P37" s="6">
        <v>0</v>
      </c>
      <c r="Q37" s="3">
        <v>0</v>
      </c>
      <c r="R37" s="3">
        <v>751873</v>
      </c>
      <c r="S37" s="6">
        <v>14.06</v>
      </c>
      <c r="T37" s="14">
        <v>10097729</v>
      </c>
      <c r="U37" s="4">
        <v>8</v>
      </c>
      <c r="V37" s="12">
        <v>44561</v>
      </c>
      <c r="W37" s="4">
        <v>1</v>
      </c>
      <c r="X37" s="5">
        <v>12</v>
      </c>
      <c r="Y37" s="16">
        <v>44546</v>
      </c>
    </row>
    <row r="38" spans="1:25" s="1" customFormat="1" ht="12" x14ac:dyDescent="0.2">
      <c r="A38" s="1">
        <v>17779058</v>
      </c>
      <c r="B38" s="2">
        <v>3</v>
      </c>
      <c r="C38" s="1" t="s">
        <v>54</v>
      </c>
      <c r="D38" s="1">
        <v>609110007</v>
      </c>
      <c r="E38" s="1" t="s">
        <v>1</v>
      </c>
      <c r="F38" s="1">
        <v>53476</v>
      </c>
      <c r="G38" s="1">
        <v>2021</v>
      </c>
      <c r="H38" s="1">
        <v>127519</v>
      </c>
      <c r="I38" s="1">
        <v>4</v>
      </c>
      <c r="J38" s="11">
        <v>44519</v>
      </c>
      <c r="K38" s="1">
        <v>68.959999999999994</v>
      </c>
      <c r="L38" s="6">
        <v>7.7149999999999999</v>
      </c>
      <c r="M38" s="3">
        <v>412567</v>
      </c>
      <c r="N38" s="6">
        <v>0</v>
      </c>
      <c r="O38" s="3">
        <v>0</v>
      </c>
      <c r="P38" s="6">
        <v>0</v>
      </c>
      <c r="Q38" s="3">
        <v>0</v>
      </c>
      <c r="R38" s="3">
        <v>412567</v>
      </c>
      <c r="S38" s="6">
        <v>7.7149999999999999</v>
      </c>
      <c r="T38" s="14">
        <v>10099595</v>
      </c>
      <c r="U38" s="4">
        <v>8</v>
      </c>
      <c r="V38" s="12">
        <v>44712</v>
      </c>
      <c r="W38" s="4">
        <v>1</v>
      </c>
      <c r="X38" s="5">
        <v>12</v>
      </c>
      <c r="Y38" s="16">
        <v>44546</v>
      </c>
    </row>
    <row r="39" spans="1:25" s="1" customFormat="1" ht="12" x14ac:dyDescent="0.2">
      <c r="A39" s="1">
        <v>17193093</v>
      </c>
      <c r="B39" s="2">
        <v>6</v>
      </c>
      <c r="C39" s="1" t="s">
        <v>31</v>
      </c>
      <c r="D39" s="1">
        <v>609110007</v>
      </c>
      <c r="E39" s="1" t="s">
        <v>1</v>
      </c>
      <c r="F39" s="1">
        <v>53476</v>
      </c>
      <c r="G39" s="1">
        <v>2021</v>
      </c>
      <c r="H39" s="1">
        <v>127518</v>
      </c>
      <c r="I39" s="1">
        <v>6</v>
      </c>
      <c r="J39" s="11">
        <v>44519</v>
      </c>
      <c r="K39" s="1">
        <v>5.54</v>
      </c>
      <c r="L39" s="6">
        <v>0.155</v>
      </c>
      <c r="M39" s="3">
        <v>8289</v>
      </c>
      <c r="N39" s="6">
        <v>0</v>
      </c>
      <c r="O39" s="3">
        <v>0</v>
      </c>
      <c r="P39" s="6">
        <v>0</v>
      </c>
      <c r="Q39" s="3">
        <v>0</v>
      </c>
      <c r="R39" s="3">
        <v>8289</v>
      </c>
      <c r="S39" s="6">
        <v>0.155</v>
      </c>
      <c r="T39" s="14">
        <v>10093069</v>
      </c>
      <c r="U39" s="4">
        <v>8</v>
      </c>
      <c r="V39" s="12">
        <v>44712</v>
      </c>
      <c r="W39" s="4">
        <v>1</v>
      </c>
      <c r="X39" s="5">
        <v>12</v>
      </c>
      <c r="Y39" s="16">
        <v>44546</v>
      </c>
    </row>
    <row r="40" spans="1:25" s="1" customFormat="1" ht="12" x14ac:dyDescent="0.2">
      <c r="A40" s="1">
        <v>16409369</v>
      </c>
      <c r="B40" s="2">
        <v>7</v>
      </c>
      <c r="C40" s="1" t="s">
        <v>55</v>
      </c>
      <c r="D40" s="1">
        <v>609110007</v>
      </c>
      <c r="E40" s="1" t="s">
        <v>1</v>
      </c>
      <c r="F40" s="1">
        <v>53476</v>
      </c>
      <c r="G40" s="1">
        <v>2021</v>
      </c>
      <c r="H40" s="1">
        <v>127504</v>
      </c>
      <c r="I40" s="1">
        <v>9</v>
      </c>
      <c r="J40" s="11">
        <v>44518</v>
      </c>
      <c r="K40" s="1">
        <v>7.25</v>
      </c>
      <c r="L40" s="6">
        <v>0.20799999999999999</v>
      </c>
      <c r="M40" s="3">
        <v>11123</v>
      </c>
      <c r="N40" s="6">
        <v>0</v>
      </c>
      <c r="O40" s="3">
        <v>0</v>
      </c>
      <c r="P40" s="6">
        <v>0</v>
      </c>
      <c r="Q40" s="3">
        <v>0</v>
      </c>
      <c r="R40" s="3">
        <v>11123</v>
      </c>
      <c r="S40" s="6">
        <v>0.20799999999999999</v>
      </c>
      <c r="T40" s="14">
        <v>10087781</v>
      </c>
      <c r="U40" s="4">
        <v>8</v>
      </c>
      <c r="V40" s="12">
        <v>44561</v>
      </c>
      <c r="W40" s="4">
        <v>1</v>
      </c>
      <c r="X40" s="5">
        <v>12</v>
      </c>
      <c r="Y40" s="16">
        <v>44546</v>
      </c>
    </row>
    <row r="41" spans="1:25" s="1" customFormat="1" ht="12" x14ac:dyDescent="0.2">
      <c r="A41" s="1">
        <v>17190667</v>
      </c>
      <c r="B41" s="2">
        <v>9</v>
      </c>
      <c r="C41" s="1" t="s">
        <v>27</v>
      </c>
      <c r="D41" s="1">
        <v>609110007</v>
      </c>
      <c r="E41" s="1" t="s">
        <v>1</v>
      </c>
      <c r="F41" s="1">
        <v>53476</v>
      </c>
      <c r="G41" s="1">
        <v>2021</v>
      </c>
      <c r="H41" s="1">
        <v>127505</v>
      </c>
      <c r="I41" s="1">
        <v>3</v>
      </c>
      <c r="J41" s="11">
        <v>44518</v>
      </c>
      <c r="K41" s="1">
        <v>95.99</v>
      </c>
      <c r="L41" s="6">
        <v>1.665</v>
      </c>
      <c r="M41" s="3">
        <v>89038</v>
      </c>
      <c r="N41" s="6">
        <v>0</v>
      </c>
      <c r="O41" s="3">
        <v>0</v>
      </c>
      <c r="P41" s="6">
        <v>0</v>
      </c>
      <c r="Q41" s="3">
        <v>0</v>
      </c>
      <c r="R41" s="3">
        <v>89038</v>
      </c>
      <c r="S41" s="6">
        <v>1.665</v>
      </c>
      <c r="T41" s="14">
        <v>10098046</v>
      </c>
      <c r="U41" s="4">
        <v>8</v>
      </c>
      <c r="V41" s="12">
        <v>44712</v>
      </c>
      <c r="W41" s="4">
        <v>1</v>
      </c>
      <c r="X41" s="5">
        <v>12</v>
      </c>
      <c r="Y41" s="16">
        <v>44546</v>
      </c>
    </row>
    <row r="42" spans="1:25" s="1" customFormat="1" ht="12" x14ac:dyDescent="0.2">
      <c r="A42" s="1">
        <v>15442097</v>
      </c>
      <c r="B42" s="2">
        <v>5</v>
      </c>
      <c r="C42" s="1" t="s">
        <v>58</v>
      </c>
      <c r="D42" s="1">
        <v>609110007</v>
      </c>
      <c r="E42" s="1" t="s">
        <v>1</v>
      </c>
      <c r="F42" s="1">
        <v>53476</v>
      </c>
      <c r="G42" s="1">
        <v>2017</v>
      </c>
      <c r="H42" s="1">
        <v>127494</v>
      </c>
      <c r="I42" s="1">
        <v>6</v>
      </c>
      <c r="J42" s="11">
        <v>44516</v>
      </c>
      <c r="K42" s="1">
        <v>86.51</v>
      </c>
      <c r="L42" s="6">
        <v>11.938000000000001</v>
      </c>
      <c r="M42" s="3">
        <v>638396</v>
      </c>
      <c r="N42" s="6">
        <v>5.0140000000000002</v>
      </c>
      <c r="O42" s="3">
        <v>268129</v>
      </c>
      <c r="P42" s="6">
        <v>0</v>
      </c>
      <c r="Q42" s="3">
        <v>0</v>
      </c>
      <c r="R42" s="3">
        <v>906525</v>
      </c>
      <c r="S42" s="6">
        <v>16.952000000000002</v>
      </c>
      <c r="T42" s="14">
        <v>10079321</v>
      </c>
      <c r="U42" s="4">
        <v>8</v>
      </c>
      <c r="V42" s="12">
        <v>43251</v>
      </c>
      <c r="W42" s="4">
        <v>1</v>
      </c>
      <c r="X42" s="5">
        <v>12</v>
      </c>
      <c r="Y42" s="16">
        <v>44546</v>
      </c>
    </row>
    <row r="43" spans="1:25" s="1" customFormat="1" ht="12" x14ac:dyDescent="0.2">
      <c r="A43" s="1">
        <v>16475774</v>
      </c>
      <c r="B43" s="2">
        <v>9</v>
      </c>
      <c r="C43" s="1" t="s">
        <v>35</v>
      </c>
      <c r="D43" s="1">
        <v>609110007</v>
      </c>
      <c r="E43" s="1" t="s">
        <v>1</v>
      </c>
      <c r="F43" s="1">
        <v>53476</v>
      </c>
      <c r="G43" s="1">
        <v>2021</v>
      </c>
      <c r="H43" s="1">
        <v>127495</v>
      </c>
      <c r="I43" s="1">
        <v>6</v>
      </c>
      <c r="J43" s="11">
        <v>44516</v>
      </c>
      <c r="K43" s="1">
        <v>92.89</v>
      </c>
      <c r="L43" s="6">
        <v>3.4740000000000002</v>
      </c>
      <c r="M43" s="3">
        <v>185776</v>
      </c>
      <c r="N43" s="6">
        <v>0</v>
      </c>
      <c r="O43" s="3">
        <v>0</v>
      </c>
      <c r="P43" s="6">
        <v>0</v>
      </c>
      <c r="Q43" s="3">
        <v>0</v>
      </c>
      <c r="R43" s="3">
        <v>185776</v>
      </c>
      <c r="S43" s="6">
        <v>3.4740000000000002</v>
      </c>
      <c r="T43" s="14">
        <v>10091247</v>
      </c>
      <c r="U43" s="4">
        <v>8</v>
      </c>
      <c r="V43" s="12">
        <v>44561</v>
      </c>
      <c r="W43" s="4">
        <v>1</v>
      </c>
      <c r="X43" s="5">
        <v>12</v>
      </c>
      <c r="Y43" s="16">
        <v>44546</v>
      </c>
    </row>
    <row r="44" spans="1:25" s="1" customFormat="1" ht="12" x14ac:dyDescent="0.2">
      <c r="A44" s="1">
        <v>13932971</v>
      </c>
      <c r="B44" s="2">
        <v>6</v>
      </c>
      <c r="C44" s="1" t="s">
        <v>59</v>
      </c>
      <c r="D44" s="1">
        <v>609110007</v>
      </c>
      <c r="E44" s="1" t="s">
        <v>1</v>
      </c>
      <c r="F44" s="1">
        <v>53476</v>
      </c>
      <c r="G44" s="1">
        <v>2021</v>
      </c>
      <c r="H44" s="1">
        <v>127472</v>
      </c>
      <c r="I44" s="1">
        <v>10</v>
      </c>
      <c r="J44" s="11">
        <v>44515</v>
      </c>
      <c r="K44" s="1">
        <v>85.67</v>
      </c>
      <c r="L44" s="6">
        <v>9.0579999999999998</v>
      </c>
      <c r="M44" s="3">
        <v>484386</v>
      </c>
      <c r="N44" s="6">
        <v>0</v>
      </c>
      <c r="O44" s="3">
        <v>0</v>
      </c>
      <c r="P44" s="6">
        <v>0</v>
      </c>
      <c r="Q44" s="3">
        <v>0</v>
      </c>
      <c r="R44" s="3">
        <v>484386</v>
      </c>
      <c r="S44" s="6">
        <v>9.0579999999999998</v>
      </c>
      <c r="T44" s="14">
        <v>10078979</v>
      </c>
      <c r="U44" s="4">
        <v>8</v>
      </c>
      <c r="V44" s="12">
        <v>44561</v>
      </c>
      <c r="W44" s="4">
        <v>1</v>
      </c>
      <c r="X44" s="5">
        <v>12</v>
      </c>
      <c r="Y44" s="16">
        <v>44546</v>
      </c>
    </row>
    <row r="45" spans="1:25" s="1" customFormat="1" ht="12" x14ac:dyDescent="0.2">
      <c r="A45" s="1">
        <v>17181857</v>
      </c>
      <c r="B45" s="2">
        <v>5</v>
      </c>
      <c r="C45" s="1" t="s">
        <v>60</v>
      </c>
      <c r="D45" s="1">
        <v>609110007</v>
      </c>
      <c r="E45" s="1" t="s">
        <v>1</v>
      </c>
      <c r="F45" s="1">
        <v>53476</v>
      </c>
      <c r="G45" s="1">
        <v>2021</v>
      </c>
      <c r="H45" s="1">
        <v>127479</v>
      </c>
      <c r="I45" s="1">
        <v>5</v>
      </c>
      <c r="J45" s="11">
        <v>44515</v>
      </c>
      <c r="K45" s="1">
        <v>80.319999999999993</v>
      </c>
      <c r="L45" s="6">
        <v>18.715</v>
      </c>
      <c r="M45" s="3">
        <v>1000803</v>
      </c>
      <c r="N45" s="6">
        <v>0</v>
      </c>
      <c r="O45" s="3">
        <v>0</v>
      </c>
      <c r="P45" s="6">
        <v>0</v>
      </c>
      <c r="Q45" s="3">
        <v>0</v>
      </c>
      <c r="R45" s="3">
        <v>1000803</v>
      </c>
      <c r="S45" s="6">
        <v>18.715</v>
      </c>
      <c r="T45" s="14">
        <v>10096077</v>
      </c>
      <c r="U45" s="4">
        <v>8</v>
      </c>
      <c r="V45" s="12">
        <v>44712</v>
      </c>
      <c r="W45" s="4">
        <v>1</v>
      </c>
      <c r="X45" s="5">
        <v>12</v>
      </c>
      <c r="Y45" s="16">
        <v>44546</v>
      </c>
    </row>
    <row r="46" spans="1:25" s="1" customFormat="1" ht="12" x14ac:dyDescent="0.2">
      <c r="A46" s="1">
        <v>16392131</v>
      </c>
      <c r="B46" s="2">
        <v>6</v>
      </c>
      <c r="C46" s="1" t="s">
        <v>33</v>
      </c>
      <c r="D46" s="1">
        <v>609110007</v>
      </c>
      <c r="E46" s="1" t="s">
        <v>1</v>
      </c>
      <c r="F46" s="1">
        <v>53476</v>
      </c>
      <c r="G46" s="1">
        <v>2019</v>
      </c>
      <c r="H46" s="1">
        <v>127465</v>
      </c>
      <c r="I46" s="1">
        <v>4</v>
      </c>
      <c r="J46" s="11">
        <v>44514</v>
      </c>
      <c r="K46" s="1">
        <v>49.51</v>
      </c>
      <c r="L46" s="6">
        <v>0.42699999999999999</v>
      </c>
      <c r="M46" s="3">
        <v>22834</v>
      </c>
      <c r="N46" s="6">
        <v>9.8000000000000004E-2</v>
      </c>
      <c r="O46" s="3">
        <v>5241</v>
      </c>
      <c r="P46" s="6">
        <v>0</v>
      </c>
      <c r="Q46" s="3">
        <v>0</v>
      </c>
      <c r="R46" s="3">
        <v>28075</v>
      </c>
      <c r="S46" s="6">
        <v>0.52500000000000002</v>
      </c>
      <c r="T46" s="14">
        <v>10095665</v>
      </c>
      <c r="U46" s="4">
        <v>8</v>
      </c>
      <c r="V46" s="12">
        <v>43830</v>
      </c>
      <c r="W46" s="4">
        <v>1</v>
      </c>
      <c r="X46" s="5">
        <v>12</v>
      </c>
      <c r="Y46" s="16">
        <v>44546</v>
      </c>
    </row>
    <row r="47" spans="1:25" s="1" customFormat="1" ht="12" x14ac:dyDescent="0.2">
      <c r="A47" s="1">
        <v>15510116</v>
      </c>
      <c r="B47" s="2">
        <v>4</v>
      </c>
      <c r="C47" s="1" t="s">
        <v>62</v>
      </c>
      <c r="D47" s="1">
        <v>609110007</v>
      </c>
      <c r="E47" s="1" t="s">
        <v>1</v>
      </c>
      <c r="F47" s="1">
        <v>53476</v>
      </c>
      <c r="G47" s="1">
        <v>2021</v>
      </c>
      <c r="H47" s="1">
        <v>127461</v>
      </c>
      <c r="I47" s="1">
        <v>6</v>
      </c>
      <c r="J47" s="11">
        <v>44513</v>
      </c>
      <c r="K47" s="1">
        <v>83.72</v>
      </c>
      <c r="L47" s="6">
        <v>17.106999999999999</v>
      </c>
      <c r="M47" s="3">
        <v>914814</v>
      </c>
      <c r="N47" s="6">
        <v>0</v>
      </c>
      <c r="O47" s="3">
        <v>0</v>
      </c>
      <c r="P47" s="6">
        <v>0</v>
      </c>
      <c r="Q47" s="3">
        <v>0</v>
      </c>
      <c r="R47" s="3">
        <v>914814</v>
      </c>
      <c r="S47" s="6">
        <v>17.106999999999999</v>
      </c>
      <c r="T47" s="14">
        <v>10095546</v>
      </c>
      <c r="U47" s="4">
        <v>8</v>
      </c>
      <c r="V47" s="12">
        <v>44561</v>
      </c>
      <c r="W47" s="4">
        <v>1</v>
      </c>
      <c r="X47" s="5">
        <v>12</v>
      </c>
      <c r="Y47" s="16">
        <v>44546</v>
      </c>
    </row>
    <row r="48" spans="1:25" s="1" customFormat="1" ht="12" x14ac:dyDescent="0.2">
      <c r="A48" s="1">
        <v>13241832</v>
      </c>
      <c r="B48" s="2">
        <v>2</v>
      </c>
      <c r="C48" s="1" t="s">
        <v>63</v>
      </c>
      <c r="D48" s="1">
        <v>609110007</v>
      </c>
      <c r="E48" s="1" t="s">
        <v>1</v>
      </c>
      <c r="F48" s="1">
        <v>53476</v>
      </c>
      <c r="G48" s="1">
        <v>2021</v>
      </c>
      <c r="H48" s="1">
        <v>127448</v>
      </c>
      <c r="I48" s="1">
        <v>13</v>
      </c>
      <c r="J48" s="11">
        <v>44511</v>
      </c>
      <c r="K48" s="1">
        <v>96.48</v>
      </c>
      <c r="L48" s="6">
        <v>8.2319999999999993</v>
      </c>
      <c r="M48" s="3">
        <v>440214</v>
      </c>
      <c r="N48" s="6">
        <v>0</v>
      </c>
      <c r="O48" s="3">
        <v>0</v>
      </c>
      <c r="P48" s="6">
        <v>0</v>
      </c>
      <c r="Q48" s="3">
        <v>0</v>
      </c>
      <c r="R48" s="3">
        <v>440214</v>
      </c>
      <c r="S48" s="6">
        <v>8.2319999999999993</v>
      </c>
      <c r="T48" s="14">
        <v>10052491</v>
      </c>
      <c r="U48" s="4">
        <v>8</v>
      </c>
      <c r="V48" s="12">
        <v>44712</v>
      </c>
      <c r="W48" s="4">
        <v>1</v>
      </c>
      <c r="X48" s="5">
        <v>12</v>
      </c>
      <c r="Y48" s="16">
        <v>44546</v>
      </c>
    </row>
    <row r="49" spans="1:25" s="1" customFormat="1" ht="12" x14ac:dyDescent="0.2">
      <c r="A49" s="1">
        <v>17285051</v>
      </c>
      <c r="B49" s="2">
        <v>0</v>
      </c>
      <c r="C49" s="1" t="s">
        <v>64</v>
      </c>
      <c r="D49" s="1">
        <v>609110007</v>
      </c>
      <c r="E49" s="1" t="s">
        <v>1</v>
      </c>
      <c r="F49" s="1">
        <v>53476</v>
      </c>
      <c r="G49" s="1">
        <v>2021</v>
      </c>
      <c r="H49" s="1">
        <v>127445</v>
      </c>
      <c r="I49" s="1">
        <v>6</v>
      </c>
      <c r="J49" s="11">
        <v>44511</v>
      </c>
      <c r="K49" s="1">
        <v>80.260000000000005</v>
      </c>
      <c r="L49" s="6">
        <v>14.496</v>
      </c>
      <c r="M49" s="3">
        <v>775188</v>
      </c>
      <c r="N49" s="6">
        <v>0</v>
      </c>
      <c r="O49" s="3">
        <v>0</v>
      </c>
      <c r="P49" s="6">
        <v>0</v>
      </c>
      <c r="Q49" s="3">
        <v>0</v>
      </c>
      <c r="R49" s="3">
        <v>775188</v>
      </c>
      <c r="S49" s="6">
        <v>14.496</v>
      </c>
      <c r="T49" s="14">
        <v>10098091</v>
      </c>
      <c r="U49" s="4">
        <v>8</v>
      </c>
      <c r="V49" s="12">
        <v>44561</v>
      </c>
      <c r="W49" s="4">
        <v>1</v>
      </c>
      <c r="X49" s="5">
        <v>12</v>
      </c>
      <c r="Y49" s="16">
        <v>44546</v>
      </c>
    </row>
    <row r="50" spans="1:25" s="1" customFormat="1" ht="12" x14ac:dyDescent="0.2">
      <c r="A50" s="1">
        <v>13004288</v>
      </c>
      <c r="B50" s="2">
        <v>0</v>
      </c>
      <c r="C50" s="1" t="s">
        <v>65</v>
      </c>
      <c r="D50" s="1">
        <v>609110007</v>
      </c>
      <c r="E50" s="1" t="s">
        <v>1</v>
      </c>
      <c r="F50" s="1">
        <v>53476</v>
      </c>
      <c r="G50" s="1">
        <v>2019</v>
      </c>
      <c r="H50" s="1">
        <v>127450</v>
      </c>
      <c r="I50" s="1">
        <v>8</v>
      </c>
      <c r="J50" s="11">
        <v>44511</v>
      </c>
      <c r="K50" s="1">
        <v>95.9</v>
      </c>
      <c r="L50" s="6">
        <v>4.798</v>
      </c>
      <c r="M50" s="3">
        <v>256578</v>
      </c>
      <c r="N50" s="6">
        <v>1.1040000000000001</v>
      </c>
      <c r="O50" s="3">
        <v>59038</v>
      </c>
      <c r="P50" s="6">
        <v>0</v>
      </c>
      <c r="Q50" s="3">
        <v>0</v>
      </c>
      <c r="R50" s="3">
        <v>315616</v>
      </c>
      <c r="S50" s="6">
        <v>5.9020000000000001</v>
      </c>
      <c r="T50" s="14">
        <v>10052162</v>
      </c>
      <c r="U50" s="4">
        <v>8</v>
      </c>
      <c r="V50" s="12">
        <v>43830</v>
      </c>
      <c r="W50" s="4">
        <v>1</v>
      </c>
      <c r="X50" s="5">
        <v>12</v>
      </c>
      <c r="Y50" s="16">
        <v>44546</v>
      </c>
    </row>
    <row r="51" spans="1:25" s="1" customFormat="1" ht="12" x14ac:dyDescent="0.2">
      <c r="A51" s="1">
        <v>13004288</v>
      </c>
      <c r="B51" s="2">
        <v>0</v>
      </c>
      <c r="C51" s="1" t="s">
        <v>65</v>
      </c>
      <c r="D51" s="1">
        <v>609110007</v>
      </c>
      <c r="E51" s="1" t="s">
        <v>1</v>
      </c>
      <c r="F51" s="1">
        <v>53476</v>
      </c>
      <c r="G51" s="1">
        <v>2020</v>
      </c>
      <c r="H51" s="1">
        <v>127449</v>
      </c>
      <c r="I51" s="1">
        <v>9</v>
      </c>
      <c r="J51" s="11">
        <v>44511</v>
      </c>
      <c r="K51" s="1">
        <v>95.9</v>
      </c>
      <c r="L51" s="6">
        <v>20.806000000000001</v>
      </c>
      <c r="M51" s="3">
        <v>1112622</v>
      </c>
      <c r="N51" s="6">
        <v>2.2879999999999998</v>
      </c>
      <c r="O51" s="3">
        <v>122353</v>
      </c>
      <c r="P51" s="6">
        <v>0</v>
      </c>
      <c r="Q51" s="3">
        <v>0</v>
      </c>
      <c r="R51" s="3">
        <v>1234975</v>
      </c>
      <c r="S51" s="6">
        <v>23.094000000000001</v>
      </c>
      <c r="T51" s="14">
        <v>10052162</v>
      </c>
      <c r="U51" s="4">
        <v>8</v>
      </c>
      <c r="V51" s="12">
        <v>44196</v>
      </c>
      <c r="W51" s="4">
        <v>1</v>
      </c>
      <c r="X51" s="5">
        <v>12</v>
      </c>
      <c r="Y51" s="16">
        <v>44546</v>
      </c>
    </row>
    <row r="52" spans="1:25" s="1" customFormat="1" ht="12" x14ac:dyDescent="0.2">
      <c r="A52" s="1">
        <v>12666599</v>
      </c>
      <c r="B52" s="2">
        <v>7</v>
      </c>
      <c r="C52" s="1" t="s">
        <v>66</v>
      </c>
      <c r="D52" s="1">
        <v>609110007</v>
      </c>
      <c r="E52" s="1" t="s">
        <v>1</v>
      </c>
      <c r="F52" s="1">
        <v>53476</v>
      </c>
      <c r="G52" s="1">
        <v>2020</v>
      </c>
      <c r="H52" s="1">
        <v>127451</v>
      </c>
      <c r="I52" s="1">
        <v>12</v>
      </c>
      <c r="J52" s="11">
        <v>44511</v>
      </c>
      <c r="K52" s="1">
        <v>93.74</v>
      </c>
      <c r="L52" s="6">
        <v>16.056999999999999</v>
      </c>
      <c r="M52" s="3">
        <v>858664</v>
      </c>
      <c r="N52" s="6">
        <v>0.96399999999999997</v>
      </c>
      <c r="O52" s="3">
        <v>51551</v>
      </c>
      <c r="P52" s="6">
        <v>0</v>
      </c>
      <c r="Q52" s="3">
        <v>0</v>
      </c>
      <c r="R52" s="3">
        <v>910215</v>
      </c>
      <c r="S52" s="6">
        <v>17.021000000000001</v>
      </c>
      <c r="T52" s="14">
        <v>10065005</v>
      </c>
      <c r="U52" s="4">
        <v>8</v>
      </c>
      <c r="V52" s="12">
        <v>44347</v>
      </c>
      <c r="W52" s="4">
        <v>1</v>
      </c>
      <c r="X52" s="5">
        <v>12</v>
      </c>
      <c r="Y52" s="16">
        <v>44546</v>
      </c>
    </row>
    <row r="53" spans="1:25" s="1" customFormat="1" ht="12" x14ac:dyDescent="0.2">
      <c r="A53" s="1">
        <v>15815885</v>
      </c>
      <c r="B53" s="2" t="s">
        <v>0</v>
      </c>
      <c r="C53" s="1" t="s">
        <v>67</v>
      </c>
      <c r="D53" s="1">
        <v>609110007</v>
      </c>
      <c r="E53" s="1" t="s">
        <v>1</v>
      </c>
      <c r="F53" s="1">
        <v>53476</v>
      </c>
      <c r="G53" s="1">
        <v>2021</v>
      </c>
      <c r="H53" s="1">
        <v>127436</v>
      </c>
      <c r="I53" s="1">
        <v>11</v>
      </c>
      <c r="J53" s="11">
        <v>44510</v>
      </c>
      <c r="K53" s="1">
        <v>67.19</v>
      </c>
      <c r="L53" s="6">
        <v>1.627</v>
      </c>
      <c r="M53" s="3">
        <v>87005</v>
      </c>
      <c r="N53" s="6">
        <v>0</v>
      </c>
      <c r="O53" s="3">
        <v>0</v>
      </c>
      <c r="P53" s="6">
        <v>0</v>
      </c>
      <c r="Q53" s="3">
        <v>0</v>
      </c>
      <c r="R53" s="3">
        <v>87005</v>
      </c>
      <c r="S53" s="6">
        <v>1.627</v>
      </c>
      <c r="T53" s="14">
        <v>10086863</v>
      </c>
      <c r="U53" s="4">
        <v>8</v>
      </c>
      <c r="V53" s="12">
        <v>44561</v>
      </c>
      <c r="W53" s="4">
        <v>1</v>
      </c>
      <c r="X53" s="5">
        <v>12</v>
      </c>
      <c r="Y53" s="16">
        <v>44546</v>
      </c>
    </row>
    <row r="54" spans="1:25" s="1" customFormat="1" ht="12" x14ac:dyDescent="0.2">
      <c r="A54" s="1">
        <v>13908442</v>
      </c>
      <c r="B54" s="2" t="s">
        <v>0</v>
      </c>
      <c r="C54" s="1" t="s">
        <v>68</v>
      </c>
      <c r="D54" s="1">
        <v>609110007</v>
      </c>
      <c r="E54" s="1" t="s">
        <v>1</v>
      </c>
      <c r="F54" s="1">
        <v>53476</v>
      </c>
      <c r="G54" s="1">
        <v>2019</v>
      </c>
      <c r="H54" s="1">
        <v>127432</v>
      </c>
      <c r="I54" s="1">
        <v>10</v>
      </c>
      <c r="J54" s="11">
        <v>44509</v>
      </c>
      <c r="K54" s="1">
        <v>78.180000000000007</v>
      </c>
      <c r="L54" s="6">
        <v>2.2450000000000001</v>
      </c>
      <c r="M54" s="3">
        <v>120054</v>
      </c>
      <c r="N54" s="6">
        <v>0.51600000000000001</v>
      </c>
      <c r="O54" s="3">
        <v>27594</v>
      </c>
      <c r="P54" s="6">
        <v>0</v>
      </c>
      <c r="Q54" s="3">
        <v>0</v>
      </c>
      <c r="R54" s="3">
        <v>147648</v>
      </c>
      <c r="S54" s="6">
        <v>2.7610000000000001</v>
      </c>
      <c r="T54" s="14">
        <v>10071686</v>
      </c>
      <c r="U54" s="4">
        <v>8</v>
      </c>
      <c r="V54" s="12">
        <v>43830</v>
      </c>
      <c r="W54" s="4">
        <v>1</v>
      </c>
      <c r="X54" s="5">
        <v>12</v>
      </c>
      <c r="Y54" s="16">
        <v>44546</v>
      </c>
    </row>
    <row r="55" spans="1:25" s="1" customFormat="1" ht="12" x14ac:dyDescent="0.2">
      <c r="A55" s="1">
        <v>16470435</v>
      </c>
      <c r="B55" s="2">
        <v>1</v>
      </c>
      <c r="C55" s="1" t="s">
        <v>26</v>
      </c>
      <c r="D55" s="1">
        <v>609110007</v>
      </c>
      <c r="E55" s="1" t="s">
        <v>1</v>
      </c>
      <c r="F55" s="1">
        <v>53476</v>
      </c>
      <c r="G55" s="1">
        <v>2021</v>
      </c>
      <c r="H55" s="1">
        <v>127412</v>
      </c>
      <c r="I55" s="1">
        <v>7</v>
      </c>
      <c r="J55" s="11">
        <v>44508</v>
      </c>
      <c r="K55" s="1">
        <v>14.52</v>
      </c>
      <c r="L55" s="6">
        <v>0.54300000000000004</v>
      </c>
      <c r="M55" s="3">
        <v>29037</v>
      </c>
      <c r="N55" s="6">
        <v>0</v>
      </c>
      <c r="O55" s="3">
        <v>0</v>
      </c>
      <c r="P55" s="6">
        <v>0</v>
      </c>
      <c r="Q55" s="3">
        <v>0</v>
      </c>
      <c r="R55" s="3">
        <v>29037</v>
      </c>
      <c r="S55" s="6">
        <v>0.54300000000000004</v>
      </c>
      <c r="T55" s="14">
        <v>10087994</v>
      </c>
      <c r="U55" s="4">
        <v>8</v>
      </c>
      <c r="V55" s="12">
        <v>44712</v>
      </c>
      <c r="W55" s="4">
        <v>1</v>
      </c>
      <c r="X55" s="5">
        <v>12</v>
      </c>
      <c r="Y55" s="16">
        <v>44546</v>
      </c>
    </row>
    <row r="56" spans="1:25" s="1" customFormat="1" ht="12" x14ac:dyDescent="0.2">
      <c r="A56" s="1">
        <v>17175109</v>
      </c>
      <c r="B56" s="2">
        <v>8</v>
      </c>
      <c r="C56" s="1" t="s">
        <v>70</v>
      </c>
      <c r="D56" s="1">
        <v>609110007</v>
      </c>
      <c r="E56" s="1" t="s">
        <v>1</v>
      </c>
      <c r="F56" s="1">
        <v>53476</v>
      </c>
      <c r="G56" s="1">
        <v>2021</v>
      </c>
      <c r="H56" s="1">
        <v>127395</v>
      </c>
      <c r="I56" s="1">
        <v>5</v>
      </c>
      <c r="J56" s="11">
        <v>44506</v>
      </c>
      <c r="K56" s="1">
        <v>84.2</v>
      </c>
      <c r="L56" s="6">
        <v>2.3620000000000001</v>
      </c>
      <c r="M56" s="3">
        <v>126310</v>
      </c>
      <c r="N56" s="6">
        <v>0</v>
      </c>
      <c r="O56" s="3">
        <v>0</v>
      </c>
      <c r="P56" s="6">
        <v>0</v>
      </c>
      <c r="Q56" s="3">
        <v>0</v>
      </c>
      <c r="R56" s="3">
        <v>126310</v>
      </c>
      <c r="S56" s="6">
        <v>2.3620000000000001</v>
      </c>
      <c r="T56" s="14">
        <v>10098042</v>
      </c>
      <c r="U56" s="4">
        <v>8</v>
      </c>
      <c r="V56" s="12">
        <v>44712</v>
      </c>
      <c r="W56" s="4">
        <v>1</v>
      </c>
      <c r="X56" s="5">
        <v>12</v>
      </c>
      <c r="Y56" s="16">
        <v>44546</v>
      </c>
    </row>
    <row r="57" spans="1:25" s="1" customFormat="1" ht="12" x14ac:dyDescent="0.2">
      <c r="A57" s="1">
        <v>16936273</v>
      </c>
      <c r="B57" s="2">
        <v>4</v>
      </c>
      <c r="C57" s="1" t="s">
        <v>32</v>
      </c>
      <c r="D57" s="1">
        <v>609110007</v>
      </c>
      <c r="E57" s="1" t="s">
        <v>1</v>
      </c>
      <c r="F57" s="1">
        <v>53476</v>
      </c>
      <c r="G57" s="1">
        <v>2022</v>
      </c>
      <c r="H57" s="1">
        <v>127394</v>
      </c>
      <c r="I57" s="1">
        <v>8</v>
      </c>
      <c r="J57" s="11">
        <v>44506</v>
      </c>
      <c r="K57" s="1">
        <v>16.010000000000002</v>
      </c>
      <c r="L57" s="6">
        <v>1E-3</v>
      </c>
      <c r="M57" s="3">
        <v>53</v>
      </c>
      <c r="N57" s="6">
        <v>0</v>
      </c>
      <c r="O57" s="3">
        <v>0</v>
      </c>
      <c r="P57" s="6">
        <v>0</v>
      </c>
      <c r="Q57" s="3">
        <v>0</v>
      </c>
      <c r="R57" s="3">
        <v>53</v>
      </c>
      <c r="S57" s="6">
        <v>1E-3</v>
      </c>
      <c r="T57" s="14">
        <v>10090568</v>
      </c>
      <c r="U57" s="4">
        <v>8</v>
      </c>
      <c r="V57" s="12">
        <v>44926</v>
      </c>
      <c r="W57" s="4">
        <v>1</v>
      </c>
      <c r="X57" s="5">
        <v>12</v>
      </c>
      <c r="Y57" s="16">
        <v>44546</v>
      </c>
    </row>
    <row r="58" spans="1:25" s="1" customFormat="1" ht="12" x14ac:dyDescent="0.2">
      <c r="A58" s="1">
        <v>16936273</v>
      </c>
      <c r="B58" s="2">
        <v>4</v>
      </c>
      <c r="C58" s="1" t="s">
        <v>32</v>
      </c>
      <c r="D58" s="1">
        <v>609110007</v>
      </c>
      <c r="E58" s="1" t="s">
        <v>1</v>
      </c>
      <c r="F58" s="1">
        <v>53476</v>
      </c>
      <c r="G58" s="1">
        <v>2021</v>
      </c>
      <c r="H58" s="1">
        <v>127393</v>
      </c>
      <c r="I58" s="1">
        <v>7</v>
      </c>
      <c r="J58" s="11">
        <v>44506</v>
      </c>
      <c r="K58" s="1">
        <v>16.010000000000002</v>
      </c>
      <c r="L58" s="6">
        <v>0.24199999999999999</v>
      </c>
      <c r="M58" s="3">
        <v>12941</v>
      </c>
      <c r="N58" s="6">
        <v>0</v>
      </c>
      <c r="O58" s="3">
        <v>0</v>
      </c>
      <c r="P58" s="6">
        <v>0</v>
      </c>
      <c r="Q58" s="3">
        <v>0</v>
      </c>
      <c r="R58" s="3">
        <v>12941</v>
      </c>
      <c r="S58" s="6">
        <v>0.24199999999999999</v>
      </c>
      <c r="T58" s="14">
        <v>10090568</v>
      </c>
      <c r="U58" s="4">
        <v>8</v>
      </c>
      <c r="V58" s="12">
        <v>44561</v>
      </c>
      <c r="W58" s="4">
        <v>1</v>
      </c>
      <c r="X58" s="5">
        <v>12</v>
      </c>
      <c r="Y58" s="16">
        <v>44546</v>
      </c>
    </row>
    <row r="59" spans="1:25" s="1" customFormat="1" ht="12" x14ac:dyDescent="0.2">
      <c r="A59" s="1">
        <v>15815885</v>
      </c>
      <c r="B59" s="2" t="s">
        <v>0</v>
      </c>
      <c r="C59" s="1" t="s">
        <v>67</v>
      </c>
      <c r="D59" s="1">
        <v>609110007</v>
      </c>
      <c r="E59" s="1" t="s">
        <v>1</v>
      </c>
      <c r="F59" s="1">
        <v>53476</v>
      </c>
      <c r="G59" s="1">
        <v>2021</v>
      </c>
      <c r="H59" s="1">
        <v>127388</v>
      </c>
      <c r="I59" s="1">
        <v>11</v>
      </c>
      <c r="J59" s="11">
        <v>44505</v>
      </c>
      <c r="K59" s="1">
        <v>67.19</v>
      </c>
      <c r="L59" s="6">
        <v>2.5129999999999999</v>
      </c>
      <c r="M59" s="3">
        <v>134385</v>
      </c>
      <c r="N59" s="6">
        <v>0</v>
      </c>
      <c r="O59" s="3">
        <v>0</v>
      </c>
      <c r="P59" s="6">
        <v>0</v>
      </c>
      <c r="Q59" s="3">
        <v>0</v>
      </c>
      <c r="R59" s="3">
        <v>134385</v>
      </c>
      <c r="S59" s="6">
        <v>2.5129999999999999</v>
      </c>
      <c r="T59" s="14">
        <v>10086863</v>
      </c>
      <c r="U59" s="4">
        <v>8</v>
      </c>
      <c r="V59" s="12">
        <v>44561</v>
      </c>
      <c r="W59" s="4">
        <v>1</v>
      </c>
      <c r="X59" s="5">
        <v>12</v>
      </c>
      <c r="Y59" s="16">
        <v>44546</v>
      </c>
    </row>
    <row r="60" spans="1:25" s="1" customFormat="1" ht="12" x14ac:dyDescent="0.2">
      <c r="A60" s="1">
        <v>13076605</v>
      </c>
      <c r="B60" s="2">
        <v>6</v>
      </c>
      <c r="C60" s="1" t="s">
        <v>71</v>
      </c>
      <c r="D60" s="1">
        <v>609110007</v>
      </c>
      <c r="E60" s="1" t="s">
        <v>1</v>
      </c>
      <c r="F60" s="1">
        <v>53476</v>
      </c>
      <c r="G60" s="1">
        <v>2021</v>
      </c>
      <c r="H60" s="1">
        <v>127386</v>
      </c>
      <c r="I60" s="1">
        <v>15</v>
      </c>
      <c r="J60" s="11">
        <v>44505</v>
      </c>
      <c r="K60" s="1">
        <v>84.24</v>
      </c>
      <c r="L60" s="6">
        <v>9.3089999999999993</v>
      </c>
      <c r="M60" s="3">
        <v>497808</v>
      </c>
      <c r="N60" s="6">
        <v>0</v>
      </c>
      <c r="O60" s="3">
        <v>0</v>
      </c>
      <c r="P60" s="6">
        <v>0</v>
      </c>
      <c r="Q60" s="3">
        <v>0</v>
      </c>
      <c r="R60" s="3">
        <v>497808</v>
      </c>
      <c r="S60" s="6">
        <v>9.3089999999999993</v>
      </c>
      <c r="T60" s="14">
        <v>10056336</v>
      </c>
      <c r="U60" s="4">
        <v>8</v>
      </c>
      <c r="V60" s="12">
        <v>44561</v>
      </c>
      <c r="W60" s="4">
        <v>1</v>
      </c>
      <c r="X60" s="5">
        <v>12</v>
      </c>
      <c r="Y60" s="16">
        <v>44546</v>
      </c>
    </row>
    <row r="61" spans="1:25" s="1" customFormat="1" ht="12" x14ac:dyDescent="0.2">
      <c r="A61" s="1">
        <v>13894367</v>
      </c>
      <c r="B61" s="2">
        <v>4</v>
      </c>
      <c r="C61" s="1" t="s">
        <v>72</v>
      </c>
      <c r="D61" s="1">
        <v>609110007</v>
      </c>
      <c r="E61" s="1" t="s">
        <v>1</v>
      </c>
      <c r="F61" s="1">
        <v>53476</v>
      </c>
      <c r="G61" s="1">
        <v>2021</v>
      </c>
      <c r="H61" s="1">
        <v>127357</v>
      </c>
      <c r="I61" s="1">
        <v>11</v>
      </c>
      <c r="J61" s="11">
        <v>44504</v>
      </c>
      <c r="K61" s="1">
        <v>84.99</v>
      </c>
      <c r="L61" s="6">
        <v>2.9750000000000001</v>
      </c>
      <c r="M61" s="3">
        <v>159091</v>
      </c>
      <c r="N61" s="6">
        <v>0</v>
      </c>
      <c r="O61" s="3">
        <v>0</v>
      </c>
      <c r="P61" s="6">
        <v>0</v>
      </c>
      <c r="Q61" s="3">
        <v>0</v>
      </c>
      <c r="R61" s="3">
        <v>159091</v>
      </c>
      <c r="S61" s="6">
        <v>2.9750000000000001</v>
      </c>
      <c r="T61" s="14">
        <v>10071639</v>
      </c>
      <c r="U61" s="4">
        <v>8</v>
      </c>
      <c r="V61" s="12">
        <v>44712</v>
      </c>
      <c r="W61" s="4">
        <v>1</v>
      </c>
      <c r="X61" s="5">
        <v>12</v>
      </c>
      <c r="Y61" s="16">
        <v>44546</v>
      </c>
    </row>
    <row r="62" spans="1:25" s="1" customFormat="1" ht="12" x14ac:dyDescent="0.2">
      <c r="A62" s="1">
        <v>15312064</v>
      </c>
      <c r="B62" s="2">
        <v>1</v>
      </c>
      <c r="C62" s="1" t="s">
        <v>5</v>
      </c>
      <c r="D62" s="1">
        <v>609110007</v>
      </c>
      <c r="E62" s="1" t="s">
        <v>1</v>
      </c>
      <c r="F62" s="1">
        <v>53476</v>
      </c>
      <c r="G62" s="1">
        <v>2021</v>
      </c>
      <c r="H62" s="1">
        <v>127359</v>
      </c>
      <c r="I62" s="1">
        <v>12</v>
      </c>
      <c r="J62" s="11">
        <v>44504</v>
      </c>
      <c r="K62" s="1">
        <v>66.73</v>
      </c>
      <c r="L62" s="6">
        <v>0.65700000000000003</v>
      </c>
      <c r="M62" s="3">
        <v>35134</v>
      </c>
      <c r="N62" s="6">
        <v>0</v>
      </c>
      <c r="O62" s="3">
        <v>0</v>
      </c>
      <c r="P62" s="6">
        <v>0</v>
      </c>
      <c r="Q62" s="3">
        <v>0</v>
      </c>
      <c r="R62" s="3">
        <v>35134</v>
      </c>
      <c r="S62" s="6">
        <v>0.65700000000000003</v>
      </c>
      <c r="T62" s="14">
        <v>10079111</v>
      </c>
      <c r="U62" s="4">
        <v>8</v>
      </c>
      <c r="V62" s="12">
        <v>44561</v>
      </c>
      <c r="W62" s="4">
        <v>1</v>
      </c>
      <c r="X62" s="5">
        <v>12</v>
      </c>
      <c r="Y62" s="16">
        <v>44546</v>
      </c>
    </row>
    <row r="63" spans="1:25" s="1" customFormat="1" ht="12" x14ac:dyDescent="0.2">
      <c r="A63" s="1">
        <v>17176581</v>
      </c>
      <c r="B63" s="2">
        <v>1</v>
      </c>
      <c r="C63" s="1" t="s">
        <v>74</v>
      </c>
      <c r="D63" s="1">
        <v>609110007</v>
      </c>
      <c r="E63" s="1" t="s">
        <v>1</v>
      </c>
      <c r="F63" s="1">
        <v>53476</v>
      </c>
      <c r="G63" s="1">
        <v>2021</v>
      </c>
      <c r="H63" s="1">
        <v>127350</v>
      </c>
      <c r="I63" s="1">
        <v>8</v>
      </c>
      <c r="J63" s="11">
        <v>44503</v>
      </c>
      <c r="K63" s="1">
        <v>14.35</v>
      </c>
      <c r="L63" s="6">
        <v>0.78200000000000003</v>
      </c>
      <c r="M63" s="3">
        <v>41818</v>
      </c>
      <c r="N63" s="6">
        <v>0</v>
      </c>
      <c r="O63" s="3">
        <v>0</v>
      </c>
      <c r="P63" s="6">
        <v>0</v>
      </c>
      <c r="Q63" s="3">
        <v>0</v>
      </c>
      <c r="R63" s="3">
        <v>41818</v>
      </c>
      <c r="S63" s="6">
        <v>0.78200000000000003</v>
      </c>
      <c r="T63" s="14">
        <v>10090641</v>
      </c>
      <c r="U63" s="4">
        <v>8</v>
      </c>
      <c r="V63" s="12">
        <v>44561</v>
      </c>
      <c r="W63" s="4">
        <v>1</v>
      </c>
      <c r="X63" s="5">
        <v>12</v>
      </c>
      <c r="Y63" s="16">
        <v>44546</v>
      </c>
    </row>
    <row r="64" spans="1:25" s="1" customFormat="1" ht="12" x14ac:dyDescent="0.2">
      <c r="A64" s="1">
        <v>15837845</v>
      </c>
      <c r="B64" s="2">
        <v>0</v>
      </c>
      <c r="C64" s="1" t="s">
        <v>75</v>
      </c>
      <c r="D64" s="1">
        <v>609110007</v>
      </c>
      <c r="E64" s="1" t="s">
        <v>1</v>
      </c>
      <c r="F64" s="1">
        <v>53476</v>
      </c>
      <c r="G64" s="1">
        <v>2021</v>
      </c>
      <c r="H64" s="1">
        <v>127382</v>
      </c>
      <c r="I64" s="1">
        <v>7</v>
      </c>
      <c r="J64" s="11">
        <v>44503</v>
      </c>
      <c r="K64" s="1">
        <v>22.37</v>
      </c>
      <c r="L64" s="6">
        <v>0.83699999999999997</v>
      </c>
      <c r="M64" s="3">
        <v>44759</v>
      </c>
      <c r="N64" s="6">
        <v>0</v>
      </c>
      <c r="O64" s="3">
        <v>0</v>
      </c>
      <c r="P64" s="6">
        <v>0</v>
      </c>
      <c r="Q64" s="3">
        <v>0</v>
      </c>
      <c r="R64" s="3">
        <v>44759</v>
      </c>
      <c r="S64" s="6">
        <v>0.83699999999999997</v>
      </c>
      <c r="T64" s="14">
        <v>10080077</v>
      </c>
      <c r="U64" s="4">
        <v>8</v>
      </c>
      <c r="V64" s="12">
        <v>44561</v>
      </c>
      <c r="W64" s="4">
        <v>1</v>
      </c>
      <c r="X64" s="5">
        <v>12</v>
      </c>
      <c r="Y64" s="16">
        <v>44546</v>
      </c>
    </row>
    <row r="65" spans="1:25" s="1" customFormat="1" ht="12" x14ac:dyDescent="0.2">
      <c r="A65" s="1">
        <v>12665059</v>
      </c>
      <c r="B65" s="2">
        <v>0</v>
      </c>
      <c r="C65" s="1" t="s">
        <v>76</v>
      </c>
      <c r="D65" s="1">
        <v>609110007</v>
      </c>
      <c r="E65" s="1" t="s">
        <v>1</v>
      </c>
      <c r="F65" s="1">
        <v>53476</v>
      </c>
      <c r="G65" s="1">
        <v>2021</v>
      </c>
      <c r="H65" s="1">
        <v>127331</v>
      </c>
      <c r="I65" s="1">
        <v>13</v>
      </c>
      <c r="J65" s="11">
        <v>44502</v>
      </c>
      <c r="K65" s="1">
        <v>68.099999999999994</v>
      </c>
      <c r="L65" s="6">
        <v>2.5000000000000001E-2</v>
      </c>
      <c r="M65" s="3">
        <v>1337</v>
      </c>
      <c r="N65" s="6">
        <v>0</v>
      </c>
      <c r="O65" s="3">
        <v>0</v>
      </c>
      <c r="P65" s="6">
        <v>0</v>
      </c>
      <c r="Q65" s="3">
        <v>0</v>
      </c>
      <c r="R65" s="3">
        <v>1337</v>
      </c>
      <c r="S65" s="6">
        <v>2.5000000000000001E-2</v>
      </c>
      <c r="T65" s="14">
        <v>10046535</v>
      </c>
      <c r="U65" s="4">
        <v>8</v>
      </c>
      <c r="V65" s="12">
        <v>44561</v>
      </c>
      <c r="W65" s="4">
        <v>1</v>
      </c>
      <c r="X65" s="5">
        <v>12</v>
      </c>
      <c r="Y65" s="16">
        <v>44546</v>
      </c>
    </row>
    <row r="66" spans="1:25" s="1" customFormat="1" ht="12" x14ac:dyDescent="0.2">
      <c r="A66" s="1">
        <v>16458369</v>
      </c>
      <c r="B66" s="2">
        <v>4</v>
      </c>
      <c r="C66" s="1" t="s">
        <v>36</v>
      </c>
      <c r="D66" s="1">
        <v>609110007</v>
      </c>
      <c r="E66" s="1" t="s">
        <v>1</v>
      </c>
      <c r="F66" s="1">
        <v>53476</v>
      </c>
      <c r="G66" s="1">
        <v>2021</v>
      </c>
      <c r="H66" s="1">
        <v>127336</v>
      </c>
      <c r="I66" s="1">
        <v>6</v>
      </c>
      <c r="J66" s="11">
        <v>44502</v>
      </c>
      <c r="K66" s="1">
        <v>82.17</v>
      </c>
      <c r="L66" s="6">
        <v>1.5369999999999999</v>
      </c>
      <c r="M66" s="3">
        <v>82193</v>
      </c>
      <c r="N66" s="6">
        <v>0</v>
      </c>
      <c r="O66" s="3">
        <v>0</v>
      </c>
      <c r="P66" s="6">
        <v>0</v>
      </c>
      <c r="Q66" s="3">
        <v>0</v>
      </c>
      <c r="R66" s="3">
        <v>82193</v>
      </c>
      <c r="S66" s="6">
        <v>1.5369999999999999</v>
      </c>
      <c r="T66" s="14">
        <v>10091228</v>
      </c>
      <c r="U66" s="4">
        <v>8</v>
      </c>
      <c r="V66" s="12">
        <v>44712</v>
      </c>
      <c r="W66" s="4">
        <v>1</v>
      </c>
      <c r="X66" s="5">
        <v>12</v>
      </c>
      <c r="Y66" s="16">
        <v>44546</v>
      </c>
    </row>
    <row r="67" spans="1:25" s="1" customFormat="1" ht="12" x14ac:dyDescent="0.2">
      <c r="A67" s="1">
        <v>18294230</v>
      </c>
      <c r="B67" s="2">
        <v>8</v>
      </c>
      <c r="C67" s="1" t="s">
        <v>29</v>
      </c>
      <c r="D67" s="1">
        <v>609110007</v>
      </c>
      <c r="E67" s="1" t="s">
        <v>1</v>
      </c>
      <c r="F67" s="1">
        <v>53476</v>
      </c>
      <c r="G67" s="1">
        <v>2021</v>
      </c>
      <c r="H67" s="1">
        <v>127622</v>
      </c>
      <c r="I67" s="1">
        <v>2</v>
      </c>
      <c r="J67" s="11">
        <v>44529</v>
      </c>
      <c r="K67" s="1">
        <v>91.15</v>
      </c>
      <c r="L67" s="6">
        <v>1.7050000000000001</v>
      </c>
      <c r="M67" s="3">
        <v>91177</v>
      </c>
      <c r="N67" s="6">
        <v>0</v>
      </c>
      <c r="O67" s="3">
        <v>0</v>
      </c>
      <c r="P67" s="6">
        <v>0</v>
      </c>
      <c r="Q67" s="3">
        <v>0</v>
      </c>
      <c r="R67" s="3">
        <v>91177</v>
      </c>
      <c r="S67" s="6">
        <v>1.7050000000000001</v>
      </c>
      <c r="T67" s="14">
        <v>21006529</v>
      </c>
      <c r="U67" s="4">
        <v>8</v>
      </c>
      <c r="V67" s="12">
        <v>44712</v>
      </c>
      <c r="W67" s="4">
        <v>1</v>
      </c>
      <c r="X67" s="5">
        <v>12</v>
      </c>
      <c r="Y67" s="16">
        <v>44546</v>
      </c>
    </row>
    <row r="68" spans="1:25" s="1" customFormat="1" ht="12" x14ac:dyDescent="0.2">
      <c r="A68" s="1">
        <v>17751725</v>
      </c>
      <c r="B68" s="2">
        <v>9</v>
      </c>
      <c r="C68" s="1" t="s">
        <v>46</v>
      </c>
      <c r="D68" s="1">
        <v>609110007</v>
      </c>
      <c r="E68" s="1" t="s">
        <v>1</v>
      </c>
      <c r="F68" s="1">
        <v>53476</v>
      </c>
      <c r="G68" s="1">
        <v>2021</v>
      </c>
      <c r="H68" s="1">
        <v>127619</v>
      </c>
      <c r="I68" s="1">
        <v>4</v>
      </c>
      <c r="J68" s="11">
        <v>44529</v>
      </c>
      <c r="K68" s="1">
        <v>44.4</v>
      </c>
      <c r="L68" s="6">
        <v>10.29</v>
      </c>
      <c r="M68" s="3">
        <v>550268</v>
      </c>
      <c r="N68" s="6">
        <v>0</v>
      </c>
      <c r="O68" s="3">
        <v>0</v>
      </c>
      <c r="P68" s="6">
        <v>0</v>
      </c>
      <c r="Q68" s="3">
        <v>0</v>
      </c>
      <c r="R68" s="3">
        <v>550268</v>
      </c>
      <c r="S68" s="6">
        <v>10.29</v>
      </c>
      <c r="T68" s="14">
        <v>10099832</v>
      </c>
      <c r="U68" s="4">
        <v>8</v>
      </c>
      <c r="V68" s="12">
        <v>44712</v>
      </c>
      <c r="W68" s="4">
        <v>1</v>
      </c>
      <c r="X68" s="5">
        <v>12</v>
      </c>
      <c r="Y68" s="16">
        <v>44546</v>
      </c>
    </row>
    <row r="69" spans="1:25" s="1" customFormat="1" ht="12" x14ac:dyDescent="0.2">
      <c r="A69" s="1">
        <v>16019523</v>
      </c>
      <c r="B69" s="2">
        <v>1</v>
      </c>
      <c r="C69" s="1" t="s">
        <v>10</v>
      </c>
      <c r="D69" s="1">
        <v>609110007</v>
      </c>
      <c r="E69" s="1" t="s">
        <v>1</v>
      </c>
      <c r="F69" s="1">
        <v>53476</v>
      </c>
      <c r="G69" s="1">
        <v>2021</v>
      </c>
      <c r="H69" s="1">
        <v>127589</v>
      </c>
      <c r="I69" s="1">
        <v>4</v>
      </c>
      <c r="J69" s="11">
        <v>44528</v>
      </c>
      <c r="K69" s="1">
        <v>26.87</v>
      </c>
      <c r="L69" s="6">
        <v>0.29399999999999998</v>
      </c>
      <c r="M69" s="3">
        <v>15722</v>
      </c>
      <c r="N69" s="6">
        <v>0</v>
      </c>
      <c r="O69" s="3">
        <v>0</v>
      </c>
      <c r="P69" s="6">
        <v>0</v>
      </c>
      <c r="Q69" s="3">
        <v>0</v>
      </c>
      <c r="R69" s="3">
        <v>15722</v>
      </c>
      <c r="S69" s="6">
        <v>0.29399999999999998</v>
      </c>
      <c r="T69" s="14">
        <v>10099616</v>
      </c>
      <c r="U69" s="4">
        <v>8</v>
      </c>
      <c r="V69" s="12">
        <v>44561</v>
      </c>
      <c r="W69" s="4">
        <v>1</v>
      </c>
      <c r="X69" s="5">
        <v>12</v>
      </c>
      <c r="Y69" s="16">
        <v>44546</v>
      </c>
    </row>
    <row r="70" spans="1:25" s="1" customFormat="1" ht="12" x14ac:dyDescent="0.2">
      <c r="A70" s="1">
        <v>18209882</v>
      </c>
      <c r="B70" s="2">
        <v>5</v>
      </c>
      <c r="C70" s="1" t="s">
        <v>56</v>
      </c>
      <c r="D70" s="1">
        <v>609110007</v>
      </c>
      <c r="E70" s="1" t="s">
        <v>1</v>
      </c>
      <c r="F70" s="1">
        <v>53476</v>
      </c>
      <c r="G70" s="1">
        <v>2020</v>
      </c>
      <c r="H70" s="1">
        <v>127509</v>
      </c>
      <c r="I70" s="1">
        <v>1</v>
      </c>
      <c r="J70" s="11">
        <v>44518</v>
      </c>
      <c r="K70" s="1">
        <v>52.75</v>
      </c>
      <c r="L70" s="6">
        <v>3.5990000000000002</v>
      </c>
      <c r="M70" s="3">
        <v>192460</v>
      </c>
      <c r="N70" s="6">
        <v>0.39600000000000002</v>
      </c>
      <c r="O70" s="3">
        <v>21176</v>
      </c>
      <c r="P70" s="6">
        <v>0</v>
      </c>
      <c r="Q70" s="3">
        <v>0</v>
      </c>
      <c r="R70" s="3">
        <v>213636</v>
      </c>
      <c r="S70" s="6">
        <v>3.9950000000000001</v>
      </c>
      <c r="T70" s="14">
        <v>21019612</v>
      </c>
      <c r="U70" s="4">
        <v>8</v>
      </c>
      <c r="V70" s="12">
        <v>44196</v>
      </c>
      <c r="W70" s="4">
        <v>1</v>
      </c>
      <c r="X70" s="5">
        <v>12</v>
      </c>
      <c r="Y70" s="16">
        <v>44546</v>
      </c>
    </row>
    <row r="71" spans="1:25" s="1" customFormat="1" ht="12" x14ac:dyDescent="0.2">
      <c r="A71" s="1">
        <v>18209882</v>
      </c>
      <c r="B71" s="2">
        <v>5</v>
      </c>
      <c r="C71" s="1" t="s">
        <v>56</v>
      </c>
      <c r="D71" s="1">
        <v>609110007</v>
      </c>
      <c r="E71" s="1" t="s">
        <v>1</v>
      </c>
      <c r="F71" s="1">
        <v>53476</v>
      </c>
      <c r="G71" s="1">
        <v>2021</v>
      </c>
      <c r="H71" s="1">
        <v>127510</v>
      </c>
      <c r="I71" s="1">
        <v>2</v>
      </c>
      <c r="J71" s="11">
        <v>44518</v>
      </c>
      <c r="K71" s="1">
        <v>52.75</v>
      </c>
      <c r="L71" s="6">
        <v>3.5990000000000002</v>
      </c>
      <c r="M71" s="3">
        <v>192460</v>
      </c>
      <c r="N71" s="6">
        <v>0</v>
      </c>
      <c r="O71" s="3">
        <v>0</v>
      </c>
      <c r="P71" s="6">
        <v>0</v>
      </c>
      <c r="Q71" s="3">
        <v>0</v>
      </c>
      <c r="R71" s="3">
        <v>192460</v>
      </c>
      <c r="S71" s="6">
        <v>3.5990000000000002</v>
      </c>
      <c r="T71" s="14">
        <v>21019612</v>
      </c>
      <c r="U71" s="4">
        <v>8</v>
      </c>
      <c r="V71" s="12">
        <v>44561</v>
      </c>
      <c r="W71" s="4">
        <v>1</v>
      </c>
      <c r="X71" s="5">
        <v>12</v>
      </c>
      <c r="Y71" s="16">
        <v>44546</v>
      </c>
    </row>
    <row r="72" spans="1:25" s="1" customFormat="1" ht="12" x14ac:dyDescent="0.2">
      <c r="A72" s="1">
        <v>18209882</v>
      </c>
      <c r="B72" s="2">
        <v>5</v>
      </c>
      <c r="C72" s="1" t="s">
        <v>56</v>
      </c>
      <c r="D72" s="1">
        <v>609110007</v>
      </c>
      <c r="E72" s="1" t="s">
        <v>1</v>
      </c>
      <c r="F72" s="1">
        <v>53476</v>
      </c>
      <c r="G72" s="1">
        <v>2022</v>
      </c>
      <c r="H72" s="1">
        <v>127511</v>
      </c>
      <c r="I72" s="1">
        <v>3</v>
      </c>
      <c r="J72" s="11">
        <v>44518</v>
      </c>
      <c r="K72" s="1">
        <v>52.75</v>
      </c>
      <c r="L72" s="6">
        <v>6.3E-2</v>
      </c>
      <c r="M72" s="3">
        <v>3369</v>
      </c>
      <c r="N72" s="6">
        <v>0</v>
      </c>
      <c r="O72" s="3">
        <v>0</v>
      </c>
      <c r="P72" s="6">
        <v>0</v>
      </c>
      <c r="Q72" s="3">
        <v>0</v>
      </c>
      <c r="R72" s="3">
        <v>3369</v>
      </c>
      <c r="S72" s="6">
        <v>6.3E-2</v>
      </c>
      <c r="T72" s="14">
        <v>21019612</v>
      </c>
      <c r="U72" s="4">
        <v>8</v>
      </c>
      <c r="V72" s="12">
        <v>44926</v>
      </c>
      <c r="W72" s="4">
        <v>1</v>
      </c>
      <c r="X72" s="5">
        <v>12</v>
      </c>
      <c r="Y72" s="16">
        <v>44546</v>
      </c>
    </row>
    <row r="73" spans="1:25" s="1" customFormat="1" ht="12" x14ac:dyDescent="0.2">
      <c r="A73" s="1">
        <v>17642325</v>
      </c>
      <c r="B73" s="2">
        <v>0</v>
      </c>
      <c r="C73" s="1" t="s">
        <v>57</v>
      </c>
      <c r="D73" s="1">
        <v>609110007</v>
      </c>
      <c r="E73" s="1" t="s">
        <v>1</v>
      </c>
      <c r="F73" s="1">
        <v>53476</v>
      </c>
      <c r="G73" s="1">
        <v>2021</v>
      </c>
      <c r="H73" s="1">
        <v>127508</v>
      </c>
      <c r="I73" s="1">
        <v>1</v>
      </c>
      <c r="J73" s="11">
        <v>44518</v>
      </c>
      <c r="K73" s="1">
        <v>91.42</v>
      </c>
      <c r="L73" s="6">
        <v>18.939</v>
      </c>
      <c r="M73" s="3">
        <v>1012782</v>
      </c>
      <c r="N73" s="6">
        <v>0</v>
      </c>
      <c r="O73" s="3">
        <v>0</v>
      </c>
      <c r="P73" s="6">
        <v>0</v>
      </c>
      <c r="Q73" s="3">
        <v>0</v>
      </c>
      <c r="R73" s="3">
        <v>1012782</v>
      </c>
      <c r="S73" s="6">
        <v>18.939</v>
      </c>
      <c r="T73" s="14">
        <v>10099774</v>
      </c>
      <c r="U73" s="4">
        <v>8</v>
      </c>
      <c r="V73" s="12">
        <v>44712</v>
      </c>
      <c r="W73" s="4">
        <v>1</v>
      </c>
      <c r="X73" s="5">
        <v>12</v>
      </c>
      <c r="Y73" s="16">
        <v>44546</v>
      </c>
    </row>
    <row r="74" spans="1:25" s="1" customFormat="1" ht="12" x14ac:dyDescent="0.2">
      <c r="A74" s="1">
        <v>18117155</v>
      </c>
      <c r="B74" s="2">
        <v>3</v>
      </c>
      <c r="C74" s="1" t="s">
        <v>61</v>
      </c>
      <c r="D74" s="1">
        <v>609110007</v>
      </c>
      <c r="E74" s="1" t="s">
        <v>1</v>
      </c>
      <c r="F74" s="1">
        <v>53476</v>
      </c>
      <c r="G74" s="1">
        <v>2021</v>
      </c>
      <c r="H74" s="1">
        <v>127482</v>
      </c>
      <c r="I74" s="1">
        <v>3</v>
      </c>
      <c r="J74" s="11">
        <v>44515</v>
      </c>
      <c r="K74" s="1">
        <v>67.16</v>
      </c>
      <c r="L74" s="6">
        <v>4.5590000000000002</v>
      </c>
      <c r="M74" s="3">
        <v>243797</v>
      </c>
      <c r="N74" s="6">
        <v>0</v>
      </c>
      <c r="O74" s="3">
        <v>0</v>
      </c>
      <c r="P74" s="6">
        <v>0</v>
      </c>
      <c r="Q74" s="3">
        <v>0</v>
      </c>
      <c r="R74" s="3">
        <v>243797</v>
      </c>
      <c r="S74" s="6">
        <v>4.5590000000000002</v>
      </c>
      <c r="T74" s="14">
        <v>10100144</v>
      </c>
      <c r="U74" s="4">
        <v>8</v>
      </c>
      <c r="V74" s="12">
        <v>44561</v>
      </c>
      <c r="W74" s="4">
        <v>1</v>
      </c>
      <c r="X74" s="5">
        <v>12</v>
      </c>
      <c r="Y74" s="16">
        <v>44546</v>
      </c>
    </row>
    <row r="75" spans="1:25" s="1" customFormat="1" ht="12" x14ac:dyDescent="0.2">
      <c r="A75" s="1">
        <v>17250910</v>
      </c>
      <c r="B75" s="2" t="s">
        <v>0</v>
      </c>
      <c r="C75" s="1" t="s">
        <v>19</v>
      </c>
      <c r="D75" s="1">
        <v>609110007</v>
      </c>
      <c r="E75" s="1" t="s">
        <v>1</v>
      </c>
      <c r="F75" s="1">
        <v>53476</v>
      </c>
      <c r="G75" s="1">
        <v>2021</v>
      </c>
      <c r="H75" s="1">
        <v>127460</v>
      </c>
      <c r="I75" s="1">
        <v>3</v>
      </c>
      <c r="J75" s="11">
        <v>44513</v>
      </c>
      <c r="K75" s="1">
        <v>89.79</v>
      </c>
      <c r="L75" s="6">
        <v>0.84</v>
      </c>
      <c r="M75" s="3">
        <v>44920</v>
      </c>
      <c r="N75" s="6">
        <v>0</v>
      </c>
      <c r="O75" s="3">
        <v>0</v>
      </c>
      <c r="P75" s="6">
        <v>0</v>
      </c>
      <c r="Q75" s="3">
        <v>0</v>
      </c>
      <c r="R75" s="3">
        <v>44920</v>
      </c>
      <c r="S75" s="6">
        <v>0.84</v>
      </c>
      <c r="T75" s="14">
        <v>10099679</v>
      </c>
      <c r="U75" s="4">
        <v>8</v>
      </c>
      <c r="V75" s="12">
        <v>44712</v>
      </c>
      <c r="W75" s="4">
        <v>1</v>
      </c>
      <c r="X75" s="5">
        <v>12</v>
      </c>
      <c r="Y75" s="16">
        <v>44546</v>
      </c>
    </row>
    <row r="76" spans="1:25" s="1" customFormat="1" ht="12" x14ac:dyDescent="0.2">
      <c r="A76" s="1">
        <v>16619665</v>
      </c>
      <c r="B76" s="2">
        <v>5</v>
      </c>
      <c r="C76" s="1" t="s">
        <v>69</v>
      </c>
      <c r="D76" s="1">
        <v>609110007</v>
      </c>
      <c r="E76" s="1" t="s">
        <v>1</v>
      </c>
      <c r="F76" s="1">
        <v>53476</v>
      </c>
      <c r="G76" s="1">
        <v>2021</v>
      </c>
      <c r="H76" s="1">
        <v>127400</v>
      </c>
      <c r="I76" s="1">
        <v>3</v>
      </c>
      <c r="J76" s="11">
        <v>44507</v>
      </c>
      <c r="K76" s="1">
        <v>76.069999999999993</v>
      </c>
      <c r="L76" s="6">
        <v>10.31</v>
      </c>
      <c r="M76" s="3">
        <v>551338</v>
      </c>
      <c r="N76" s="6">
        <v>0</v>
      </c>
      <c r="O76" s="3">
        <v>0</v>
      </c>
      <c r="P76" s="6">
        <v>0</v>
      </c>
      <c r="Q76" s="3">
        <v>0</v>
      </c>
      <c r="R76" s="3">
        <v>551338</v>
      </c>
      <c r="S76" s="6">
        <v>10.31</v>
      </c>
      <c r="T76" s="14">
        <v>10099627</v>
      </c>
      <c r="U76" s="4">
        <v>8</v>
      </c>
      <c r="V76" s="12">
        <v>44712</v>
      </c>
      <c r="W76" s="4">
        <v>1</v>
      </c>
      <c r="X76" s="5">
        <v>12</v>
      </c>
      <c r="Y76" s="16">
        <v>44546</v>
      </c>
    </row>
    <row r="77" spans="1:25" s="1" customFormat="1" ht="12" x14ac:dyDescent="0.2">
      <c r="A77" s="1">
        <v>17358176</v>
      </c>
      <c r="B77" s="2">
        <v>9</v>
      </c>
      <c r="C77" s="1" t="s">
        <v>73</v>
      </c>
      <c r="D77" s="1">
        <v>609110007</v>
      </c>
      <c r="E77" s="1" t="s">
        <v>1</v>
      </c>
      <c r="F77" s="1">
        <v>53476</v>
      </c>
      <c r="G77" s="1">
        <v>2021</v>
      </c>
      <c r="H77" s="1">
        <v>127366</v>
      </c>
      <c r="I77" s="1">
        <v>3</v>
      </c>
      <c r="J77" s="11">
        <v>44504</v>
      </c>
      <c r="K77" s="1">
        <v>83.09</v>
      </c>
      <c r="L77" s="6">
        <v>4.194</v>
      </c>
      <c r="M77" s="3">
        <v>224278</v>
      </c>
      <c r="N77" s="6">
        <v>0</v>
      </c>
      <c r="O77" s="3">
        <v>0</v>
      </c>
      <c r="P77" s="6">
        <v>0</v>
      </c>
      <c r="Q77" s="3">
        <v>0</v>
      </c>
      <c r="R77" s="3">
        <v>224278</v>
      </c>
      <c r="S77" s="6">
        <v>4.194</v>
      </c>
      <c r="T77" s="14">
        <v>10099705</v>
      </c>
      <c r="U77" s="4">
        <v>8</v>
      </c>
      <c r="V77" s="12">
        <v>44712</v>
      </c>
      <c r="W77" s="4">
        <v>1</v>
      </c>
      <c r="X77" s="5">
        <v>12</v>
      </c>
      <c r="Y77" s="16">
        <v>44546</v>
      </c>
    </row>
    <row r="78" spans="1:25" s="1" customFormat="1" ht="12" x14ac:dyDescent="0.2">
      <c r="A78" s="1">
        <v>18664881</v>
      </c>
      <c r="B78" s="2">
        <v>1</v>
      </c>
      <c r="C78" s="1" t="s">
        <v>34</v>
      </c>
      <c r="D78" s="1">
        <v>609110007</v>
      </c>
      <c r="E78" s="1" t="s">
        <v>1</v>
      </c>
      <c r="F78" s="1">
        <v>53476</v>
      </c>
      <c r="G78" s="1">
        <v>2021</v>
      </c>
      <c r="H78" s="1">
        <v>127355</v>
      </c>
      <c r="I78" s="1">
        <v>1</v>
      </c>
      <c r="J78" s="11">
        <v>44503</v>
      </c>
      <c r="K78" s="1">
        <v>90.26</v>
      </c>
      <c r="L78" s="6">
        <v>2.532</v>
      </c>
      <c r="M78" s="3">
        <v>135401</v>
      </c>
      <c r="N78" s="6">
        <v>0</v>
      </c>
      <c r="O78" s="3">
        <v>0</v>
      </c>
      <c r="P78" s="6">
        <v>0</v>
      </c>
      <c r="Q78" s="3">
        <v>0</v>
      </c>
      <c r="R78" s="3">
        <v>135401</v>
      </c>
      <c r="S78" s="6">
        <v>2.532</v>
      </c>
      <c r="T78" s="14">
        <v>21018243</v>
      </c>
      <c r="U78" s="4">
        <v>8</v>
      </c>
      <c r="V78" s="12">
        <v>44712</v>
      </c>
      <c r="W78" s="4">
        <v>1</v>
      </c>
      <c r="X78" s="5">
        <v>12</v>
      </c>
      <c r="Y78" s="16">
        <v>44546</v>
      </c>
    </row>
    <row r="79" spans="1:25" s="1" customFormat="1" ht="12" x14ac:dyDescent="0.2">
      <c r="A79" s="1">
        <v>12636194</v>
      </c>
      <c r="B79" s="2">
        <v>7</v>
      </c>
      <c r="C79" s="1" t="s">
        <v>6</v>
      </c>
      <c r="D79" s="1">
        <v>609110007</v>
      </c>
      <c r="E79" s="1" t="s">
        <v>1</v>
      </c>
      <c r="F79" s="1">
        <v>53476</v>
      </c>
      <c r="G79" s="1">
        <v>2009</v>
      </c>
      <c r="H79" s="1">
        <v>127384</v>
      </c>
      <c r="I79" s="1">
        <v>6</v>
      </c>
      <c r="J79" s="11">
        <v>44504</v>
      </c>
      <c r="K79" s="1">
        <v>17.73</v>
      </c>
      <c r="L79" s="6">
        <v>0.113</v>
      </c>
      <c r="M79" s="3">
        <v>6043</v>
      </c>
      <c r="N79" s="6">
        <v>0.17699999999999999</v>
      </c>
      <c r="O79" s="3">
        <v>9465</v>
      </c>
      <c r="P79" s="6">
        <v>0</v>
      </c>
      <c r="Q79" s="3">
        <v>0</v>
      </c>
      <c r="R79" s="3">
        <v>15508</v>
      </c>
      <c r="S79" s="6">
        <v>0.28999999999999998</v>
      </c>
      <c r="T79" s="14">
        <v>10086579</v>
      </c>
      <c r="U79" s="4">
        <v>12</v>
      </c>
      <c r="V79" s="12">
        <v>40178</v>
      </c>
      <c r="W79" s="4">
        <v>1</v>
      </c>
      <c r="X79" s="5">
        <v>13</v>
      </c>
      <c r="Y79" s="16">
        <v>44546</v>
      </c>
    </row>
    <row r="80" spans="1:25" s="1" customFormat="1" ht="12" x14ac:dyDescent="0.2">
      <c r="A80" s="1">
        <v>14435224</v>
      </c>
      <c r="B80" s="2">
        <v>6</v>
      </c>
      <c r="C80" s="1" t="s">
        <v>40</v>
      </c>
      <c r="D80" s="1">
        <v>609110007</v>
      </c>
      <c r="E80" s="1" t="s">
        <v>1</v>
      </c>
      <c r="F80" s="1">
        <v>53476</v>
      </c>
      <c r="G80" s="1">
        <v>2022</v>
      </c>
      <c r="H80" s="1">
        <v>127611</v>
      </c>
      <c r="I80" s="1">
        <v>18</v>
      </c>
      <c r="J80" s="11">
        <v>44529</v>
      </c>
      <c r="K80" s="1">
        <v>100</v>
      </c>
      <c r="L80" s="6">
        <v>1E-3</v>
      </c>
      <c r="M80" s="3">
        <v>53</v>
      </c>
      <c r="N80" s="6">
        <v>0</v>
      </c>
      <c r="O80" s="3">
        <v>0</v>
      </c>
      <c r="P80" s="6">
        <v>0</v>
      </c>
      <c r="Q80" s="3">
        <v>0</v>
      </c>
      <c r="R80" s="3">
        <v>53</v>
      </c>
      <c r="S80" s="6">
        <v>1E-3</v>
      </c>
      <c r="T80" s="14">
        <v>10050595</v>
      </c>
      <c r="U80" s="4">
        <v>8</v>
      </c>
      <c r="V80" s="12">
        <v>44926</v>
      </c>
      <c r="W80" s="4">
        <v>1</v>
      </c>
      <c r="X80" s="5">
        <v>14</v>
      </c>
      <c r="Y80" s="16">
        <v>44546</v>
      </c>
    </row>
    <row r="81" spans="1:25" s="1" customFormat="1" ht="12" x14ac:dyDescent="0.2">
      <c r="A81" s="1">
        <v>14435224</v>
      </c>
      <c r="B81" s="2">
        <v>6</v>
      </c>
      <c r="C81" s="1" t="s">
        <v>40</v>
      </c>
      <c r="D81" s="1">
        <v>609110007</v>
      </c>
      <c r="E81" s="1" t="s">
        <v>1</v>
      </c>
      <c r="F81" s="1">
        <v>53476</v>
      </c>
      <c r="G81" s="1">
        <v>2021</v>
      </c>
      <c r="H81" s="1">
        <v>127610</v>
      </c>
      <c r="I81" s="1">
        <v>17</v>
      </c>
      <c r="J81" s="11">
        <v>44529</v>
      </c>
      <c r="K81" s="1">
        <v>100</v>
      </c>
      <c r="L81" s="6">
        <v>1.532</v>
      </c>
      <c r="M81" s="3">
        <v>81925</v>
      </c>
      <c r="N81" s="6">
        <v>0</v>
      </c>
      <c r="O81" s="3">
        <v>0</v>
      </c>
      <c r="P81" s="6">
        <v>0</v>
      </c>
      <c r="Q81" s="3">
        <v>0</v>
      </c>
      <c r="R81" s="3">
        <v>81925</v>
      </c>
      <c r="S81" s="6">
        <v>1.532</v>
      </c>
      <c r="T81" s="14">
        <v>10050595</v>
      </c>
      <c r="U81" s="4">
        <v>8</v>
      </c>
      <c r="V81" s="12">
        <v>44561</v>
      </c>
      <c r="W81" s="4">
        <v>1</v>
      </c>
      <c r="X81" s="5">
        <v>14</v>
      </c>
      <c r="Y81" s="16">
        <v>44546</v>
      </c>
    </row>
    <row r="82" spans="1:25" s="1" customFormat="1" ht="12" x14ac:dyDescent="0.2">
      <c r="A82" s="1">
        <v>13271103</v>
      </c>
      <c r="B82" s="2">
        <v>8</v>
      </c>
      <c r="C82" s="1" t="s">
        <v>41</v>
      </c>
      <c r="D82" s="1">
        <v>609110007</v>
      </c>
      <c r="E82" s="1" t="s">
        <v>1</v>
      </c>
      <c r="F82" s="1">
        <v>53476</v>
      </c>
      <c r="G82" s="1">
        <v>2022</v>
      </c>
      <c r="H82" s="1">
        <v>127609</v>
      </c>
      <c r="I82" s="1">
        <v>19</v>
      </c>
      <c r="J82" s="11">
        <v>44529</v>
      </c>
      <c r="K82" s="1">
        <v>100</v>
      </c>
      <c r="L82" s="6">
        <v>0</v>
      </c>
      <c r="M82" s="3">
        <v>0</v>
      </c>
      <c r="N82" s="6">
        <v>0</v>
      </c>
      <c r="O82" s="3">
        <v>0</v>
      </c>
      <c r="P82" s="6">
        <v>0</v>
      </c>
      <c r="Q82" s="3">
        <v>0</v>
      </c>
      <c r="R82" s="3">
        <v>0</v>
      </c>
      <c r="S82" s="6">
        <v>0</v>
      </c>
      <c r="T82" s="14">
        <v>10050346</v>
      </c>
      <c r="U82" s="4">
        <v>8</v>
      </c>
      <c r="V82" s="12">
        <v>44926</v>
      </c>
      <c r="W82" s="4">
        <v>1</v>
      </c>
      <c r="X82" s="5">
        <v>14</v>
      </c>
      <c r="Y82" s="16">
        <v>44546</v>
      </c>
    </row>
    <row r="83" spans="1:25" s="1" customFormat="1" ht="12" x14ac:dyDescent="0.2">
      <c r="A83" s="1">
        <v>13271103</v>
      </c>
      <c r="B83" s="2">
        <v>8</v>
      </c>
      <c r="C83" s="1" t="s">
        <v>41</v>
      </c>
      <c r="D83" s="1">
        <v>609110007</v>
      </c>
      <c r="E83" s="1" t="s">
        <v>1</v>
      </c>
      <c r="F83" s="1">
        <v>53476</v>
      </c>
      <c r="G83" s="1">
        <v>2021</v>
      </c>
      <c r="H83" s="1">
        <v>127608</v>
      </c>
      <c r="I83" s="1">
        <v>18</v>
      </c>
      <c r="J83" s="11">
        <v>44529</v>
      </c>
      <c r="K83" s="1">
        <v>100</v>
      </c>
      <c r="L83" s="6">
        <v>7.9660000000000002</v>
      </c>
      <c r="M83" s="3">
        <v>425990</v>
      </c>
      <c r="N83" s="6">
        <v>0</v>
      </c>
      <c r="O83" s="3">
        <v>0</v>
      </c>
      <c r="P83" s="6">
        <v>0</v>
      </c>
      <c r="Q83" s="3">
        <v>0</v>
      </c>
      <c r="R83" s="3">
        <v>425990</v>
      </c>
      <c r="S83" s="6">
        <v>7.9660000000000002</v>
      </c>
      <c r="T83" s="14">
        <v>10050346</v>
      </c>
      <c r="U83" s="4">
        <v>8</v>
      </c>
      <c r="V83" s="12">
        <v>44561</v>
      </c>
      <c r="W83" s="4">
        <v>1</v>
      </c>
      <c r="X83" s="5">
        <v>14</v>
      </c>
      <c r="Y83" s="16">
        <v>44546</v>
      </c>
    </row>
    <row r="84" spans="1:25" s="1" customFormat="1" ht="12" x14ac:dyDescent="0.2">
      <c r="A84" s="1">
        <v>10805696</v>
      </c>
      <c r="B84" s="2">
        <v>7</v>
      </c>
      <c r="C84" s="1" t="s">
        <v>42</v>
      </c>
      <c r="D84" s="1">
        <v>609110007</v>
      </c>
      <c r="E84" s="1" t="s">
        <v>1</v>
      </c>
      <c r="F84" s="1">
        <v>53476</v>
      </c>
      <c r="G84" s="1">
        <v>2021</v>
      </c>
      <c r="H84" s="1">
        <v>127557</v>
      </c>
      <c r="I84" s="1">
        <v>24</v>
      </c>
      <c r="J84" s="11">
        <v>44524</v>
      </c>
      <c r="K84" s="1">
        <v>100</v>
      </c>
      <c r="L84" s="6">
        <v>3.74</v>
      </c>
      <c r="M84" s="3">
        <v>200000</v>
      </c>
      <c r="N84" s="6">
        <v>0</v>
      </c>
      <c r="O84" s="3">
        <v>0</v>
      </c>
      <c r="P84" s="6">
        <v>0</v>
      </c>
      <c r="Q84" s="3">
        <v>0</v>
      </c>
      <c r="R84" s="3">
        <v>200000</v>
      </c>
      <c r="S84" s="6">
        <v>3.74</v>
      </c>
      <c r="T84" s="14">
        <v>10037443</v>
      </c>
      <c r="U84" s="4">
        <v>4</v>
      </c>
      <c r="V84" s="12">
        <v>44712</v>
      </c>
      <c r="W84" s="4">
        <v>1</v>
      </c>
      <c r="X84" s="5">
        <v>14</v>
      </c>
      <c r="Y84" s="16">
        <v>44546</v>
      </c>
    </row>
    <row r="85" spans="1:25" s="1" customFormat="1" ht="12" x14ac:dyDescent="0.2">
      <c r="A85" s="1">
        <v>10805696</v>
      </c>
      <c r="B85" s="2">
        <v>7</v>
      </c>
      <c r="C85" s="1" t="s">
        <v>42</v>
      </c>
      <c r="D85" s="1">
        <v>609110007</v>
      </c>
      <c r="E85" s="1" t="s">
        <v>1</v>
      </c>
      <c r="F85" s="1">
        <v>53476</v>
      </c>
      <c r="G85" s="1">
        <v>2021</v>
      </c>
      <c r="H85" s="1">
        <v>127496</v>
      </c>
      <c r="I85" s="1">
        <v>24</v>
      </c>
      <c r="J85" s="11">
        <v>44517</v>
      </c>
      <c r="K85" s="1">
        <v>100</v>
      </c>
      <c r="L85" s="6">
        <v>16.052</v>
      </c>
      <c r="M85" s="3">
        <v>858397</v>
      </c>
      <c r="N85" s="6">
        <v>0</v>
      </c>
      <c r="O85" s="3">
        <v>0</v>
      </c>
      <c r="P85" s="6">
        <v>0</v>
      </c>
      <c r="Q85" s="3">
        <v>0</v>
      </c>
      <c r="R85" s="3">
        <v>858397</v>
      </c>
      <c r="S85" s="6">
        <v>16.052</v>
      </c>
      <c r="T85" s="14">
        <v>10037443</v>
      </c>
      <c r="U85" s="4">
        <v>4</v>
      </c>
      <c r="V85" s="12">
        <v>44712</v>
      </c>
      <c r="W85" s="4">
        <v>1</v>
      </c>
      <c r="X85" s="5">
        <v>14</v>
      </c>
      <c r="Y85" s="16">
        <v>44546</v>
      </c>
    </row>
    <row r="86" spans="1:25" s="1" customFormat="1" ht="12" x14ac:dyDescent="0.2">
      <c r="A86" s="1">
        <v>12642499</v>
      </c>
      <c r="B86" s="2" t="s">
        <v>0</v>
      </c>
      <c r="C86" s="1" t="s">
        <v>15</v>
      </c>
      <c r="D86" s="1">
        <v>609110007</v>
      </c>
      <c r="E86" s="1" t="s">
        <v>1</v>
      </c>
      <c r="F86" s="1">
        <v>53476</v>
      </c>
      <c r="G86" s="1">
        <v>2021</v>
      </c>
      <c r="H86" s="1">
        <v>127476</v>
      </c>
      <c r="I86" s="1">
        <v>18</v>
      </c>
      <c r="J86" s="11">
        <v>44515</v>
      </c>
      <c r="K86" s="1">
        <v>100</v>
      </c>
      <c r="L86" s="6">
        <v>0.34300000000000003</v>
      </c>
      <c r="M86" s="3">
        <v>18342</v>
      </c>
      <c r="N86" s="6">
        <v>0</v>
      </c>
      <c r="O86" s="3">
        <v>0</v>
      </c>
      <c r="P86" s="6">
        <v>0</v>
      </c>
      <c r="Q86" s="3">
        <v>0</v>
      </c>
      <c r="R86" s="3">
        <v>18342</v>
      </c>
      <c r="S86" s="6">
        <v>0.34300000000000003</v>
      </c>
      <c r="T86" s="14">
        <v>10040137</v>
      </c>
      <c r="U86" s="4">
        <v>4</v>
      </c>
      <c r="V86" s="12">
        <v>44561</v>
      </c>
      <c r="W86" s="4">
        <v>1</v>
      </c>
      <c r="X86" s="5">
        <v>14</v>
      </c>
      <c r="Y86" s="16">
        <v>44546</v>
      </c>
    </row>
    <row r="87" spans="1:25" s="1" customFormat="1" ht="12" x14ac:dyDescent="0.2">
      <c r="A87" s="1">
        <v>12642499</v>
      </c>
      <c r="B87" s="2" t="s">
        <v>0</v>
      </c>
      <c r="C87" s="1" t="s">
        <v>15</v>
      </c>
      <c r="D87" s="1">
        <v>609110007</v>
      </c>
      <c r="E87" s="1" t="s">
        <v>1</v>
      </c>
      <c r="F87" s="1">
        <v>53476</v>
      </c>
      <c r="G87" s="1">
        <v>2022</v>
      </c>
      <c r="H87" s="1">
        <v>127477</v>
      </c>
      <c r="I87" s="1">
        <v>19</v>
      </c>
      <c r="J87" s="11">
        <v>44515</v>
      </c>
      <c r="K87" s="1">
        <v>100</v>
      </c>
      <c r="L87" s="6">
        <v>0.218</v>
      </c>
      <c r="M87" s="3">
        <v>11658</v>
      </c>
      <c r="N87" s="6">
        <v>0</v>
      </c>
      <c r="O87" s="3">
        <v>0</v>
      </c>
      <c r="P87" s="6">
        <v>0</v>
      </c>
      <c r="Q87" s="3">
        <v>0</v>
      </c>
      <c r="R87" s="3">
        <v>11658</v>
      </c>
      <c r="S87" s="6">
        <v>0.218</v>
      </c>
      <c r="T87" s="14">
        <v>10040137</v>
      </c>
      <c r="U87" s="4">
        <v>4</v>
      </c>
      <c r="V87" s="12">
        <v>44926</v>
      </c>
      <c r="W87" s="4">
        <v>1</v>
      </c>
      <c r="X87" s="5">
        <v>14</v>
      </c>
      <c r="Y87" s="16">
        <v>44546</v>
      </c>
    </row>
    <row r="88" spans="1:25" x14ac:dyDescent="0.25">
      <c r="L88" s="7">
        <f>SUM(L1:L87)</f>
        <v>381.20995399999993</v>
      </c>
      <c r="M88" s="9">
        <f t="shared" ref="M88:S88" si="0">SUM(M1:M87)</f>
        <v>20382549.585788999</v>
      </c>
      <c r="N88" s="7">
        <f t="shared" si="0"/>
        <v>14.646761000000001</v>
      </c>
      <c r="O88" s="9">
        <f t="shared" si="0"/>
        <v>783167.06825800007</v>
      </c>
      <c r="P88" s="7">
        <f t="shared" si="0"/>
        <v>16.141999999999999</v>
      </c>
      <c r="Q88" s="9">
        <f t="shared" si="0"/>
        <v>863204</v>
      </c>
      <c r="R88" s="9">
        <f t="shared" si="0"/>
        <v>21165716.654047001</v>
      </c>
      <c r="S88" s="7">
        <f t="shared" si="0"/>
        <v>395.85671500000001</v>
      </c>
    </row>
    <row r="92" spans="1:25" x14ac:dyDescent="0.25">
      <c r="G92" t="s">
        <v>11</v>
      </c>
      <c r="J92" s="13">
        <f>SUM(R80:R87)</f>
        <v>1596365</v>
      </c>
    </row>
    <row r="93" spans="1:25" x14ac:dyDescent="0.25">
      <c r="G93" t="s">
        <v>7</v>
      </c>
      <c r="J93" s="13">
        <f>+R79</f>
        <v>15508</v>
      </c>
    </row>
    <row r="94" spans="1:25" x14ac:dyDescent="0.25">
      <c r="G94" t="s">
        <v>21</v>
      </c>
      <c r="J94" s="13">
        <f>SUM(R9:R78)</f>
        <v>18959914</v>
      </c>
    </row>
    <row r="95" spans="1:25" x14ac:dyDescent="0.25">
      <c r="G95" t="s">
        <v>39</v>
      </c>
      <c r="J95" s="13">
        <f>SUM(R7:R8)</f>
        <v>254118</v>
      </c>
    </row>
    <row r="96" spans="1:25" x14ac:dyDescent="0.25">
      <c r="G96" t="s">
        <v>2</v>
      </c>
      <c r="J96" s="13">
        <f>+R6</f>
        <v>49572</v>
      </c>
    </row>
    <row r="97" spans="7:10" x14ac:dyDescent="0.25">
      <c r="G97" t="s">
        <v>77</v>
      </c>
      <c r="J97" s="13">
        <f>+R1+R2</f>
        <v>242466</v>
      </c>
    </row>
    <row r="98" spans="7:10" x14ac:dyDescent="0.25">
      <c r="G98" t="s">
        <v>22</v>
      </c>
      <c r="J98" s="13">
        <f>+R3+R4+R5</f>
        <v>47773.654046999996</v>
      </c>
    </row>
    <row r="99" spans="7:10" x14ac:dyDescent="0.25">
      <c r="J99" s="13">
        <f ca="1">SUM(J92:J99)</f>
        <v>21165716.654047001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2021-12-30T19:35:57Z</dcterms:modified>
</cp:coreProperties>
</file>