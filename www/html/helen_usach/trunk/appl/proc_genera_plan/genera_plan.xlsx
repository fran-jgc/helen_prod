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28335" windowHeight="12720"/>
  </bookViews>
  <sheets>
    <sheet name="Hoja1" sheetId="1" r:id="rId1"/>
    <sheet name="Hoja2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E14" i="1"/>
  <c r="D14"/>
  <c r="K16"/>
  <c r="K17"/>
  <c r="K18"/>
  <c r="K19"/>
  <c r="K20"/>
  <c r="K21"/>
  <c r="K22"/>
  <c r="K23"/>
  <c r="K24"/>
  <c r="K15"/>
  <c r="L14"/>
  <c r="J15" s="1"/>
  <c r="I15" l="1"/>
  <c r="L15" s="1"/>
  <c r="J16" s="1"/>
  <c r="K25"/>
  <c r="I16" l="1"/>
  <c r="L16" l="1"/>
  <c r="J17" s="1"/>
  <c r="I17" l="1"/>
  <c r="L17" l="1"/>
  <c r="J18" s="1"/>
  <c r="I18" l="1"/>
  <c r="L18" l="1"/>
  <c r="J19" l="1"/>
  <c r="I19" s="1"/>
  <c r="L19" l="1"/>
  <c r="J20" l="1"/>
  <c r="I20" s="1"/>
  <c r="L20" l="1"/>
  <c r="J21" l="1"/>
  <c r="I21" s="1"/>
  <c r="L21" l="1"/>
  <c r="J22" l="1"/>
  <c r="I22" s="1"/>
  <c r="L22" l="1"/>
  <c r="J23" l="1"/>
  <c r="I23" s="1"/>
  <c r="L23" l="1"/>
  <c r="J24" s="1"/>
  <c r="I24" l="1"/>
  <c r="J25"/>
  <c r="L24" l="1"/>
  <c r="I25"/>
</calcChain>
</file>

<file path=xl/sharedStrings.xml><?xml version="1.0" encoding="utf-8"?>
<sst xmlns="http://schemas.openxmlformats.org/spreadsheetml/2006/main" count="13" uniqueCount="9">
  <si>
    <t>K</t>
  </si>
  <si>
    <t>i</t>
  </si>
  <si>
    <t>n</t>
  </si>
  <si>
    <t>IN</t>
  </si>
  <si>
    <t>cuota</t>
  </si>
  <si>
    <t>saldo K</t>
  </si>
  <si>
    <t>CALCULO CUOTA DISTINTO DE CS</t>
  </si>
  <si>
    <t>Para CS</t>
  </si>
  <si>
    <t>GENERA PLAN</t>
  </si>
</sst>
</file>

<file path=xl/styles.xml><?xml version="1.0" encoding="utf-8"?>
<styleSheet xmlns="http://schemas.openxmlformats.org/spreadsheetml/2006/main">
  <numFmts count="3">
    <numFmt numFmtId="43" formatCode="_-* #,##0.00\ _€_-;\-* #,##0.00\ _€_-;_-* &quot;-&quot;??\ _€_-;_-@_-"/>
    <numFmt numFmtId="164" formatCode="_-* #,##0.000\ _€_-;\-* #,##0.000\ _€_-;_-* &quot;-&quot;??\ _€_-;_-@_-"/>
    <numFmt numFmtId="165" formatCode="_-* #,##0.0000\ _€_-;\-* #,##0.0000\ _€_-;_-* &quot;-&quot;??\ _€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0" fontId="2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4:L25"/>
  <sheetViews>
    <sheetView tabSelected="1" workbookViewId="0">
      <selection activeCell="F18" sqref="F18"/>
    </sheetView>
  </sheetViews>
  <sheetFormatPr baseColWidth="10" defaultRowHeight="15"/>
  <cols>
    <col min="11" max="11" width="11.85546875" bestFit="1" customWidth="1"/>
  </cols>
  <sheetData>
    <row r="4" spans="3:12" ht="28.5">
      <c r="C4" s="5" t="s">
        <v>8</v>
      </c>
    </row>
    <row r="8" spans="3:12">
      <c r="C8" t="s">
        <v>7</v>
      </c>
      <c r="H8" t="s">
        <v>6</v>
      </c>
    </row>
    <row r="10" spans="3:12">
      <c r="C10" t="s">
        <v>0</v>
      </c>
      <c r="D10">
        <v>157.2079</v>
      </c>
    </row>
    <row r="11" spans="3:12">
      <c r="H11" t="s">
        <v>0</v>
      </c>
      <c r="I11">
        <v>101.9096</v>
      </c>
    </row>
    <row r="12" spans="3:12">
      <c r="H12" t="s">
        <v>1</v>
      </c>
      <c r="I12" s="1">
        <v>0.02</v>
      </c>
    </row>
    <row r="13" spans="3:12">
      <c r="D13" t="s">
        <v>0</v>
      </c>
      <c r="E13" t="s">
        <v>3</v>
      </c>
      <c r="H13" t="s">
        <v>2</v>
      </c>
      <c r="I13">
        <v>10</v>
      </c>
      <c r="L13" t="s">
        <v>5</v>
      </c>
    </row>
    <row r="14" spans="3:12">
      <c r="C14">
        <v>9999</v>
      </c>
      <c r="D14">
        <f>+D10</f>
        <v>157.2079</v>
      </c>
      <c r="E14">
        <f>ROUND(D10*2%,4)</f>
        <v>3.1442000000000001</v>
      </c>
      <c r="I14" t="s">
        <v>0</v>
      </c>
      <c r="J14" t="s">
        <v>3</v>
      </c>
      <c r="K14" t="s">
        <v>4</v>
      </c>
      <c r="L14">
        <f>+I11</f>
        <v>101.9096</v>
      </c>
    </row>
    <row r="15" spans="3:12">
      <c r="H15">
        <v>1</v>
      </c>
      <c r="I15" s="3">
        <f>+K15-J15</f>
        <v>9.3070000000000004</v>
      </c>
      <c r="J15" s="3">
        <f>ROUND(+$I$12*L14,4)</f>
        <v>2.0381999999999998</v>
      </c>
      <c r="K15" s="3">
        <f>ROUND(-PMT($I$12,$I$13,$I$11), 4)</f>
        <v>11.3452</v>
      </c>
      <c r="L15" s="4">
        <f>+L14-I15</f>
        <v>92.602599999999995</v>
      </c>
    </row>
    <row r="16" spans="3:12">
      <c r="H16">
        <v>2</v>
      </c>
      <c r="I16" s="3">
        <f>+K16-J16</f>
        <v>9.4931000000000001</v>
      </c>
      <c r="J16" s="3">
        <f t="shared" ref="J16:J24" si="0">ROUND(+$I$12*L15,4)</f>
        <v>1.8521000000000001</v>
      </c>
      <c r="K16" s="3">
        <f t="shared" ref="K16:K24" si="1">ROUND(-PMT($I$12,$I$13,$I$11), 4)</f>
        <v>11.3452</v>
      </c>
      <c r="L16" s="4">
        <f t="shared" ref="L16:L24" si="2">+L15-I16</f>
        <v>83.109499999999997</v>
      </c>
    </row>
    <row r="17" spans="8:12">
      <c r="H17">
        <v>3</v>
      </c>
      <c r="I17" s="3">
        <f t="shared" ref="I17:I24" si="3">+K17-J17</f>
        <v>9.6829999999999998</v>
      </c>
      <c r="J17" s="3">
        <f t="shared" si="0"/>
        <v>1.6621999999999999</v>
      </c>
      <c r="K17" s="3">
        <f t="shared" si="1"/>
        <v>11.3452</v>
      </c>
      <c r="L17" s="4">
        <f t="shared" si="2"/>
        <v>73.426500000000004</v>
      </c>
    </row>
    <row r="18" spans="8:12">
      <c r="H18">
        <v>4</v>
      </c>
      <c r="I18" s="3">
        <f t="shared" si="3"/>
        <v>9.8766999999999996</v>
      </c>
      <c r="J18" s="3">
        <f t="shared" si="0"/>
        <v>1.4684999999999999</v>
      </c>
      <c r="K18" s="3">
        <f t="shared" si="1"/>
        <v>11.3452</v>
      </c>
      <c r="L18" s="4">
        <f t="shared" si="2"/>
        <v>63.549800000000005</v>
      </c>
    </row>
    <row r="19" spans="8:12">
      <c r="H19">
        <v>5</v>
      </c>
      <c r="I19" s="3">
        <f t="shared" si="3"/>
        <v>10.074200000000001</v>
      </c>
      <c r="J19" s="3">
        <f t="shared" si="0"/>
        <v>1.2709999999999999</v>
      </c>
      <c r="K19" s="3">
        <f t="shared" si="1"/>
        <v>11.3452</v>
      </c>
      <c r="L19" s="4">
        <f t="shared" si="2"/>
        <v>53.4756</v>
      </c>
    </row>
    <row r="20" spans="8:12">
      <c r="H20">
        <v>6</v>
      </c>
      <c r="I20" s="3">
        <f t="shared" si="3"/>
        <v>10.275700000000001</v>
      </c>
      <c r="J20" s="3">
        <f t="shared" si="0"/>
        <v>1.0694999999999999</v>
      </c>
      <c r="K20" s="3">
        <f t="shared" si="1"/>
        <v>11.3452</v>
      </c>
      <c r="L20" s="4">
        <f t="shared" si="2"/>
        <v>43.1999</v>
      </c>
    </row>
    <row r="21" spans="8:12">
      <c r="H21">
        <v>7</v>
      </c>
      <c r="I21" s="3">
        <f t="shared" si="3"/>
        <v>10.481199999999999</v>
      </c>
      <c r="J21" s="3">
        <f t="shared" si="0"/>
        <v>0.86399999999999999</v>
      </c>
      <c r="K21" s="3">
        <f t="shared" si="1"/>
        <v>11.3452</v>
      </c>
      <c r="L21" s="4">
        <f t="shared" si="2"/>
        <v>32.718699999999998</v>
      </c>
    </row>
    <row r="22" spans="8:12">
      <c r="H22">
        <v>8</v>
      </c>
      <c r="I22" s="3">
        <f t="shared" si="3"/>
        <v>10.690799999999999</v>
      </c>
      <c r="J22" s="3">
        <f t="shared" si="0"/>
        <v>0.65439999999999998</v>
      </c>
      <c r="K22" s="3">
        <f t="shared" si="1"/>
        <v>11.3452</v>
      </c>
      <c r="L22" s="4">
        <f t="shared" si="2"/>
        <v>22.027899999999999</v>
      </c>
    </row>
    <row r="23" spans="8:12">
      <c r="H23">
        <v>9</v>
      </c>
      <c r="I23" s="3">
        <f t="shared" si="3"/>
        <v>10.9046</v>
      </c>
      <c r="J23" s="3">
        <f t="shared" si="0"/>
        <v>0.44059999999999999</v>
      </c>
      <c r="K23" s="3">
        <f t="shared" si="1"/>
        <v>11.3452</v>
      </c>
      <c r="L23" s="4">
        <f t="shared" si="2"/>
        <v>11.123299999999999</v>
      </c>
    </row>
    <row r="24" spans="8:12">
      <c r="H24">
        <v>10</v>
      </c>
      <c r="I24" s="3">
        <f t="shared" si="3"/>
        <v>11.1227</v>
      </c>
      <c r="J24" s="3">
        <f t="shared" si="0"/>
        <v>0.2225</v>
      </c>
      <c r="K24" s="3">
        <f t="shared" si="1"/>
        <v>11.3452</v>
      </c>
      <c r="L24" s="4">
        <f t="shared" si="2"/>
        <v>5.9999999999860165E-4</v>
      </c>
    </row>
    <row r="25" spans="8:12">
      <c r="I25" s="2">
        <f>SUM(I15:I24)</f>
        <v>101.90899999999999</v>
      </c>
      <c r="J25" s="2">
        <f>SUM(J15:J24)</f>
        <v>11.543000000000001</v>
      </c>
      <c r="K25" s="2">
        <f>SUM(K15:K24)</f>
        <v>113.45200000000003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Windows uE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WinuE</dc:creator>
  <cp:lastModifiedBy>WinuE</cp:lastModifiedBy>
  <dcterms:created xsi:type="dcterms:W3CDTF">2010-10-14T15:49:05Z</dcterms:created>
  <dcterms:modified xsi:type="dcterms:W3CDTF">2010-11-13T15:49:00Z</dcterms:modified>
</cp:coreProperties>
</file>